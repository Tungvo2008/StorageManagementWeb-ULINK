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ns1="http://schemas.openxmlformats.org/markup-compatibility/2006" xmlns:ns2="http://schemas.microsoft.com/office/spreadsheetml/2010/11/ac" xmlns:ns3="http://schemas.microsoft.com/office/spreadsheetml/2014/revision" xmlns:ns4="http://schemas.microsoft.com/office/spreadsheetml/2016/revision6" xmlns:ns5="http://schemas.microsoft.com/office/spreadsheetml/2016/revision10" xmlns:ns6="http://schemas.microsoft.com/office/spreadsheetml/2015/revision2" xmlns:ns8="http://schemas.microsoft.com/office/spreadsheetml/2010/11/main" xmlns:ns9="http://schemas.microsoft.com/office/spreadsheetml/2018/calcfeatures" xmlns:r="http://schemas.openxmlformats.org/officeDocument/2006/relationships" ns1:Ignorable="x15 xr xr6 xr10 xr2">
  <fileVersion appName="xl" lastEdited="7" lowestEdited="7" rupBuild="10215" codeName="{E5D1E7B1-6628-F0F0-D09B-76B25B5F3CD3}"/>
  <workbookPr codeName="ThisWorkbook"/>
  <ns1:AlternateContent>
    <ns1:Choice Requires="x15">
      <ns2:absPath url="/Users/thanhtungvo/ULINK INVOICE/"/>
    </ns1:Choice>
  </ns1:AlternateContent>
  <ns3:revisionPtr revIDLastSave="0" documentId="13_ncr:1_{5EAF5B9E-AF5B-C141-AFF6-CD7381CE4FAD}" ns4:coauthVersionLast="47" ns4:coauthVersionMax="47" ns5:uidLastSave="{00000000-0000-0000-0000-000000000000}"/>
  <bookViews>
    <workbookView xWindow="0" yWindow="800" windowWidth="35020" windowHeight="21140" activeTab="1" ns6:uid="{01018332-327F-8041-B886-69A5C97187D6}"/>
  </bookViews>
  <sheets>
    <sheet name="Transfer" sheetId="13" r:id="rId1" state="veryHidden"/>
    <sheet name="Sample Invoice" sheetId="6" r:id="rId2"/>
    <sheet name="UL0005" sheetId="1" r:id="rId3" state="hidden"/>
    <sheet name="Invoice - UL0006" sheetId="5" r:id="rId4" state="hidden"/>
    <sheet name="Invoice - UL0007" sheetId="9" r:id="rId5" state="hidden"/>
    <sheet name="Invoice - UL0008" sheetId="19" r:id="rId6" state="hidden"/>
    <sheet name="Invoice - UL0009" sheetId="20" r:id="rId7" state="hidden"/>
    <sheet name="Invoice - UL0010" sheetId="24" r:id="rId8" state="hidden"/>
    <sheet name="Invoice - UL0011" sheetId="26" r:id="rId9" state="hidden"/>
    <sheet name="Invoice - UL0012" sheetId="27" r:id="rId10" state="hidden"/>
    <sheet name="Invoice - UL0013" sheetId="28" r:id="rId11" state="hidden"/>
    <sheet name="Invoice - UL0014" sheetId="29" r:id="rId12" state="hidden"/>
    <sheet name="Invoice - UL0015" sheetId="30" r:id="rId13" state="hidden"/>
    <sheet name="Invoice - UL0016" sheetId="31" r:id="rId14" state="hidden"/>
    <sheet name="Invoice - UL0017" sheetId="34" r:id="rId15" state="hidden"/>
    <sheet name="Invoice - UL0018" sheetId="35" r:id="rId16" state="hidden"/>
    <sheet name="Invoice - UL0019" sheetId="36" r:id="rId17" state="hidden"/>
    <sheet name="Invoice - UL0020" sheetId="37" r:id="rId18" state="hidden"/>
    <sheet name="Invoice World Market 08-30" sheetId="38" r:id="rId19" state="hidden"/>
    <sheet name="Invoice - UL0021" sheetId="39" r:id="rId20" state="hidden"/>
    <sheet name="Invoice - UL0022" sheetId="40" r:id="rId21" state="hidden"/>
    <sheet name="Invoice - UL0023" sheetId="42" r:id="rId22" state="hidden"/>
    <sheet name="Invoice - UL0024" sheetId="44" r:id="rId23" state="hidden"/>
    <sheet name="Invoice - UL0025" sheetId="45" r:id="rId24" state="hidden"/>
    <sheet name="Invoice - UL0026" sheetId="46" r:id="rId25" state="hidden"/>
    <sheet name="Invoice - UL0023 (2)" sheetId="48" r:id="rId26" state="hidden"/>
    <sheet name="Invoice - UL0027" sheetId="49" r:id="rId27" state="hidden"/>
    <sheet name="Invoice - UL0028" sheetId="50" r:id="rId28" state="hidden"/>
    <sheet name="Invoice - UL0029" sheetId="51" r:id="rId29" state="hidden"/>
    <sheet name="Invoice - UL0030" sheetId="52" r:id="rId30" state="hidden"/>
    <sheet name="Invoice - UL0031" sheetId="53" r:id="rId31" state="hidden"/>
  </sheets>
  <definedNames>
    <definedName name="_xleta.IFERROR" hidden="1" xlm="1">#NAME?</definedName>
    <definedName name="_xlnm.Print_Area" localSheetId="3">'Invoice - UL0006'!$A$1:$J$43</definedName>
    <definedName name="_xlnm.Print_Area" localSheetId="4">'Invoice - UL0007'!$A$1:$J$44</definedName>
    <definedName name="_xlnm.Print_Area" localSheetId="5">'Invoice - UL0008'!$A$1:$K$54</definedName>
    <definedName name="_xlnm.Print_Area" localSheetId="6">'Invoice - UL0009'!$A$1:$K$54</definedName>
    <definedName name="_xlnm.Print_Area" localSheetId="7">'Invoice - UL0010'!$A$1:$K$54</definedName>
    <definedName name="_xlnm.Print_Area" localSheetId="8">'Invoice - UL0011'!$A$1:$K$54</definedName>
    <definedName name="_xlnm.Print_Area" localSheetId="9">'Invoice - UL0012'!$A$1:$K$54</definedName>
    <definedName name="_xlnm.Print_Area" localSheetId="10">'Invoice - UL0013'!$A$1:$K$54</definedName>
    <definedName name="_xlnm.Print_Area" localSheetId="11">'Invoice - UL0014'!$A$1:$K$54</definedName>
    <definedName name="_xlnm.Print_Area" localSheetId="12">'Invoice - UL0015'!$A$1:$K$54</definedName>
    <definedName name="_xlnm.Print_Area" localSheetId="13">'Invoice - UL0016'!$A$1:$K$54</definedName>
    <definedName name="_xlnm.Print_Area" localSheetId="14">'Invoice - UL0017'!$A$1:$K$54</definedName>
    <definedName name="_xlnm.Print_Area" localSheetId="15">'Invoice - UL0018'!$A$1:$K$54</definedName>
    <definedName name="_xlnm.Print_Area" localSheetId="16">'Invoice - UL0019'!$A$1:$K$54</definedName>
    <definedName name="_xlnm.Print_Area" localSheetId="17">'Invoice - UL0020'!$A$1:$K$54</definedName>
    <definedName name="_xlnm.Print_Area" localSheetId="19">'Invoice - UL0021'!$A$1:$K$54</definedName>
    <definedName name="_xlnm.Print_Area" localSheetId="20">'Invoice - UL0022'!$A$1:$K$54</definedName>
    <definedName name="_xlnm.Print_Area" localSheetId="21">'Invoice - UL0023'!$A$1:$K$54</definedName>
    <definedName name="_xlnm.Print_Area" localSheetId="25">'Invoice - UL0023 (2)'!$A$1:$K$54</definedName>
    <definedName name="_xlnm.Print_Area" localSheetId="22">'Invoice - UL0024'!$A$1:$K$54</definedName>
    <definedName name="_xlnm.Print_Area" localSheetId="23">'Invoice - UL0025'!$A$1:$K$54</definedName>
    <definedName name="_xlnm.Print_Area" localSheetId="24">'Invoice - UL0026'!$A$1:$K$54</definedName>
    <definedName name="_xlnm.Print_Area" localSheetId="26">'Invoice - UL0027'!$A$1:$K$54</definedName>
    <definedName name="_xlnm.Print_Area" localSheetId="27">'Invoice - UL0028'!$A$1:$K$54</definedName>
    <definedName name="_xlnm.Print_Area" localSheetId="28">'Invoice - UL0029'!$A$1:$K$54</definedName>
    <definedName name="_xlnm.Print_Area" localSheetId="29">'Invoice - UL0030'!$A$1:$K$54</definedName>
    <definedName name="_xlnm.Print_Area" localSheetId="30">'Invoice - UL0031'!$A$1:$K$54</definedName>
    <definedName name="_xlnm.Print_Area" localSheetId="18">'Invoice World Market 08-30'!$A$1:$K$55</definedName>
    <definedName name="_xlnm.Print_Area" localSheetId="1">'Sample Invoice'!$A$1:$K$54</definedName>
    <definedName name="_xlnm.Print_Area" localSheetId="2">'UL0005'!$A$1:$I$42</definedName>
  </definedNames>
  <calcPr calcId="191029"/>
  <extLst>
    <ext uri="{140A7094-0E35-4892-8432-C4D2E57EDEB5}">
      <ns8:workbookPr chartTrackingRefBase="1"/>
    </ext>
    <ext uri="{B58B0392-4F1F-4190-BB64-5DF3571DCE5F}">
      <ns9:calcFeatures>
        <ns9:feature name="microsoft.com:RD"/>
        <ns9:feature name="microsoft.com:Single"/>
        <ns9:feature name="microsoft.com:FV"/>
        <ns9:feature name="microsoft.com:CNMTM"/>
        <ns9:feature name="microsoft.com:LET_WF"/>
        <ns9:feature name="microsoft.com:LAMBDA_WF"/>
        <ns9:feature name="microsoft.com:ARRAYTEXT_WF"/>
      </ns9:calcFeatures>
    </ext>
  </extLst>
</workbook>
</file>

<file path=xl/calcChain.xml><?xml version="1.0" encoding="utf-8"?>
<calcChain xmlns="http://schemas.openxmlformats.org/spreadsheetml/2006/main">
  <c r="I43" i="46" l="1"/>
  <c r="I50" i="38" l="1"/>
  <c r="I46" i="38"/>
  <c r="I44" i="38"/>
  <c r="I30" i="38"/>
  <c r="I29" i="38"/>
  <c r="I22" i="35"/>
  <c r="I23" i="35"/>
  <c r="I24" i="35"/>
  <c r="I25" i="35"/>
  <c r="I26" i="35"/>
  <c r="I27" i="35"/>
  <c r="I21" i="35"/>
  <c r="G22" i="1"/>
  <c r="G21" i="1"/>
  <c r="F33" i="9" l="1"/>
  <c r="H29" i="9"/>
  <c r="H30" i="9"/>
  <c r="H31" i="9"/>
  <c r="H32" i="9"/>
  <c r="H28" i="9"/>
  <c r="H27" i="9"/>
  <c r="H26" i="9"/>
  <c r="H25" i="9"/>
  <c r="H24" i="9"/>
  <c r="H23" i="9"/>
  <c r="H22" i="9"/>
  <c r="H21" i="9"/>
  <c r="H31" i="5"/>
  <c r="H30" i="5"/>
  <c r="H29" i="5"/>
  <c r="H28" i="5"/>
  <c r="H27" i="5"/>
  <c r="H26" i="5"/>
  <c r="H25" i="5"/>
  <c r="H24" i="5"/>
  <c r="H23" i="5"/>
  <c r="H22" i="5"/>
  <c r="H21" i="5"/>
  <c r="G23" i="1"/>
  <c r="G24" i="1"/>
  <c r="G25" i="1"/>
  <c r="G26" i="1"/>
  <c r="G27" i="1"/>
  <c r="G28" i="1"/>
  <c r="G29" i="1"/>
  <c r="G30" i="1"/>
  <c r="G20" i="1"/>
  <c r="H32" i="5" l="1"/>
  <c r="H34" i="5" s="1"/>
  <c r="H36" i="5" s="1"/>
  <c r="H38" i="5" s="1"/>
  <c r="G31" i="1"/>
  <c r="G33" i="1" s="1"/>
  <c r="G35" i="1" s="1"/>
  <c r="H33" i="9" l="1"/>
  <c r="H35" i="9" s="1"/>
  <c r="H37" i="9" s="1"/>
  <c r="H39" i="9" s="1"/>
  <c r="G37" i="1"/>
  <c r="C6" i="13" l="1" a="1"/>
  <c r="C6" i="13" s="1"/>
  <c r="C7" i="13" a="1"/>
  <c r="C7" i="13" s="1"/>
  <c r="D8" i="13" a="1"/>
  <c r="D8" i="13" s="1"/>
  <c r="B5" i="13" a="1"/>
  <c r="B5" i="13" s="1"/>
  <c r="B12" i="13" a="1"/>
  <c r="B12" i="13" s="1"/>
  <c r="B11" i="13" a="1"/>
  <c r="B11" i="13" s="1"/>
  <c r="F21" i="13" a="1"/>
  <c r="F21" i="13" s="1"/>
  <c r="F22" i="13" a="1"/>
  <c r="F22" i="13" s="1"/>
  <c r="B21" i="13" a="1"/>
  <c r="B21" i="13" s="1"/>
  <c r="D4" i="13" a="1"/>
  <c r="D4" i="13" s="1"/>
  <c r="B16" i="13" a="1"/>
  <c r="B16" i="13" s="1"/>
  <c r="F12" i="13" a="1"/>
  <c r="F12" i="13" s="1"/>
  <c r="E2" i="13" a="1"/>
  <c r="E2" i="13" s="1"/>
  <c r="B10" i="13" a="1"/>
  <c r="B10" i="13" s="1"/>
  <c r="F14" i="13" a="1"/>
  <c r="F14" i="13" s="1"/>
  <c r="E21" i="13" a="1"/>
  <c r="E21" i="13" s="1"/>
  <c r="C21" i="13" a="1"/>
  <c r="C21" i="13" s="1"/>
  <c r="E18" i="13" a="1"/>
  <c r="E18" i="13" s="1"/>
  <c r="F18" i="13" a="1"/>
  <c r="F18" i="13" s="1"/>
  <c r="B6" i="13" a="1"/>
  <c r="B6" i="13" s="1"/>
  <c r="D13" i="13" a="1"/>
  <c r="D13" i="13" s="1"/>
  <c r="E19" i="13" a="1"/>
  <c r="E19" i="13" s="1"/>
  <c r="A12" i="13" a="1"/>
  <c r="A12" i="13" s="1"/>
  <c r="A6" i="13" a="1"/>
  <c r="A6" i="13" s="1"/>
  <c r="D19" i="13" a="1"/>
  <c r="D19" i="13" s="1"/>
  <c r="E9" i="13" a="1"/>
  <c r="E9" i="13" s="1"/>
  <c r="A10" i="13" a="1"/>
  <c r="A10" i="13" s="1"/>
  <c r="E12" i="13" a="1"/>
  <c r="E12" i="13" s="1"/>
  <c r="A2" i="13" a="1"/>
  <c r="A2" i="13" s="1"/>
  <c r="F20" i="13" a="1"/>
  <c r="F20" i="13" s="1"/>
  <c r="E10" i="13" a="1"/>
  <c r="E10" i="13" s="1"/>
  <c r="C10" i="13" a="1"/>
  <c r="C10" i="13" s="1"/>
  <c r="F16" i="13" a="1"/>
  <c r="F16" i="13" s="1"/>
  <c r="A20" i="13" a="1"/>
  <c r="A20" i="13" s="1"/>
  <c r="D17" i="13" a="1"/>
  <c r="D17" i="13" s="1"/>
  <c r="B13" i="13" a="1"/>
  <c r="B13" i="13" s="1"/>
  <c r="C23" i="13" a="1"/>
  <c r="C23" i="13" s="1"/>
  <c r="E13" i="13" a="1"/>
  <c r="E13" i="13" s="1"/>
  <c r="B2" i="13" a="1"/>
  <c r="B2" i="13" s="1"/>
  <c r="C20" i="13" a="1"/>
  <c r="C20" i="13" s="1"/>
  <c r="F3" i="13" a="1"/>
  <c r="F3" i="13" s="1"/>
  <c r="B3" i="13" a="1"/>
  <c r="B3" i="13" s="1"/>
  <c r="D21" i="13" a="1"/>
  <c r="D21" i="13" s="1"/>
  <c r="D14" i="13" a="1"/>
  <c r="D14" i="13" s="1"/>
  <c r="E3" i="13" a="1"/>
  <c r="E3" i="13" s="1"/>
  <c r="D20" i="13" a="1"/>
  <c r="D20" i="13" s="1"/>
  <c r="K2" i="13"/>
  <c r="D18" i="13" a="1"/>
  <c r="D18" i="13" s="1"/>
  <c r="B7" i="13" a="1"/>
  <c r="B7" i="13" s="1"/>
  <c r="A13" i="13" a="1"/>
  <c r="A13" i="13" s="1"/>
  <c r="B23" i="13" a="1"/>
  <c r="B23" i="13" s="1"/>
  <c r="C11" i="13" a="1"/>
  <c r="C11" i="13" s="1"/>
  <c r="B4" i="13" a="1"/>
  <c r="B4" i="13" s="1"/>
  <c r="M2" i="13"/>
  <c r="A16" i="13" a="1"/>
  <c r="A16" i="13" s="1"/>
  <c r="C17" i="13" a="1"/>
  <c r="C17" i="13" s="1"/>
  <c r="B17" i="13" a="1"/>
  <c r="B17" i="13" s="1"/>
  <c r="C5" i="13" a="1"/>
  <c r="C5" i="13" s="1"/>
  <c r="C2" i="13" a="1"/>
  <c r="C2" i="13" s="1"/>
  <c r="A14" i="13" a="1"/>
  <c r="A14" i="13" s="1"/>
  <c r="F19" i="13" a="1"/>
  <c r="F19" i="13" s="1"/>
  <c r="D10" i="13" a="1"/>
  <c r="D10" i="13" s="1"/>
  <c r="C18" i="13" a="1"/>
  <c r="C18" i="13" s="1"/>
  <c r="D12" i="13" a="1"/>
  <c r="D12" i="13" s="1"/>
  <c r="D11" i="13" a="1"/>
  <c r="D11" i="13" s="1"/>
  <c r="C19" i="13" a="1"/>
  <c r="C19" i="13" s="1"/>
  <c r="A15" i="13" a="1"/>
  <c r="A15" i="13" s="1"/>
  <c r="D22" i="13" a="1"/>
  <c r="D22" i="13" s="1"/>
  <c r="E5" i="13" a="1"/>
  <c r="E5" i="13" s="1"/>
  <c r="D15" i="13" a="1"/>
  <c r="D15" i="13" s="1"/>
  <c r="D7" i="13" a="1"/>
  <c r="D7" i="13" s="1"/>
  <c r="A22" i="13" a="1"/>
  <c r="A22" i="13" s="1"/>
  <c r="A7" i="13" a="1"/>
  <c r="A7" i="13" s="1"/>
  <c r="B8" i="13" a="1"/>
  <c r="B8" i="13" s="1"/>
  <c r="C13" i="13" a="1"/>
  <c r="C13" i="13" s="1"/>
  <c r="F13" i="13" a="1"/>
  <c r="F13" i="13" s="1"/>
  <c r="B18" i="13" a="1"/>
  <c r="B18" i="13" s="1"/>
  <c r="F4" i="13" a="1"/>
  <c r="F4" i="13" s="1"/>
  <c r="I2" i="13"/>
  <c r="F5" i="13" a="1"/>
  <c r="F5" i="13" s="1"/>
  <c r="C16" i="13" a="1"/>
  <c r="C16" i="13" s="1"/>
  <c r="D23" i="13" a="1"/>
  <c r="D23" i="13" s="1"/>
  <c r="D9" i="13" a="1"/>
  <c r="D9" i="13" s="1"/>
  <c r="F10" i="13" a="1"/>
  <c r="F10" i="13" s="1"/>
  <c r="F11" i="13" a="1"/>
  <c r="F11" i="13" s="1"/>
  <c r="J2" i="13"/>
  <c r="B9" i="13" a="1"/>
  <c r="B9" i="13" s="1"/>
  <c r="C3" i="13" a="1"/>
  <c r="C3" i="13" s="1"/>
  <c r="A19" i="13" a="1"/>
  <c r="A19" i="13" s="1"/>
  <c r="D3" i="13" a="1"/>
  <c r="D3" i="13" s="1"/>
  <c r="F8" i="13" a="1"/>
  <c r="F8" i="13" s="1"/>
  <c r="E14" i="13" a="1"/>
  <c r="E14" i="13" s="1"/>
  <c r="A23" i="13" a="1"/>
  <c r="A23" i="13" s="1"/>
  <c r="H2" i="13"/>
  <c r="I9" i="6" s="1"/>
  <c r="E11" i="13" a="1"/>
  <c r="E11" i="13" s="1"/>
  <c r="C12" i="13" a="1"/>
  <c r="C12" i="13" s="1"/>
  <c r="C22" i="13" a="1"/>
  <c r="C22" i="13" s="1"/>
  <c r="F17" i="13" a="1"/>
  <c r="F17" i="13" s="1"/>
  <c r="E7" i="13" a="1"/>
  <c r="E7" i="13" s="1"/>
  <c r="E15" i="13" a="1"/>
  <c r="E15" i="13" s="1"/>
  <c r="E6" i="13" a="1"/>
  <c r="E6" i="13" s="1"/>
  <c r="E22" i="13" a="1"/>
  <c r="E22" i="13" s="1"/>
  <c r="F7" i="13" a="1"/>
  <c r="F7" i="13" s="1"/>
  <c r="F6" i="13" a="1"/>
  <c r="F6" i="13" s="1"/>
  <c r="B15" i="13" a="1"/>
  <c r="B15" i="13" s="1"/>
  <c r="E4" i="13" a="1"/>
  <c r="E4" i="13" s="1"/>
  <c r="E8" i="13" a="1"/>
  <c r="E8" i="13" s="1"/>
  <c r="A17" i="13" a="1"/>
  <c r="A17" i="13" s="1"/>
  <c r="B20" i="13" a="1"/>
  <c r="B20" i="13" s="1"/>
  <c r="D16" i="13" a="1"/>
  <c r="D16" i="13" s="1"/>
  <c r="C8" i="13" a="1"/>
  <c r="C8" i="13" s="1"/>
  <c r="B22" i="13" a="1"/>
  <c r="B22" i="13" s="1"/>
  <c r="D5" i="13" a="1"/>
  <c r="D5" i="13" s="1"/>
  <c r="E20" i="13" a="1"/>
  <c r="E20" i="13" s="1"/>
  <c r="C9" i="13" a="1"/>
  <c r="C9" i="13" s="1"/>
  <c r="C14" i="13" a="1"/>
  <c r="C14" i="13" s="1"/>
  <c r="E17" i="13" a="1"/>
  <c r="E17" i="13" s="1"/>
  <c r="F23" i="13" a="1"/>
  <c r="F23" i="13" s="1"/>
  <c r="B14" i="13" a="1"/>
  <c r="B14" i="13" s="1"/>
  <c r="L2" i="13"/>
  <c r="F15" i="13" a="1"/>
  <c r="F15" i="13" s="1"/>
  <c r="A21" i="13" a="1"/>
  <c r="A21" i="13" s="1"/>
  <c r="G2" i="13"/>
  <c r="I7" i="6" s="1"/>
  <c r="E23" i="13" a="1"/>
  <c r="E23" i="13" s="1"/>
  <c r="F2" i="13" a="1"/>
  <c r="F2" i="13" s="1"/>
  <c r="D2" i="13" a="1"/>
  <c r="D2" i="13" s="1"/>
  <c r="C15" i="13" a="1"/>
  <c r="C15" i="13" s="1"/>
  <c r="D6" i="13" a="1"/>
  <c r="D6" i="13" s="1"/>
  <c r="C4" i="13" a="1"/>
  <c r="C4" i="13" s="1"/>
  <c r="B19" i="13" a="1"/>
  <c r="B19" i="13" s="1"/>
  <c r="A18" i="13" a="1"/>
  <c r="A18" i="13" s="1"/>
  <c r="F9" i="13" a="1"/>
  <c r="F9" i="13" s="1"/>
  <c r="A8" i="13" a="1"/>
  <c r="A8" i="13" s="1"/>
  <c r="E16" i="13" a="1"/>
  <c r="E16" i="13" s="1"/>
  <c r="E24" i="6" l="1" a="1"/>
  <c r="E24" i="6" s="1"/>
  <c r="G24" i="6" a="1"/>
  <c r="G24" i="6" s="1"/>
  <c r="H24" i="6" a="1"/>
  <c r="H24" i="6" s="1"/>
  <c r="C24" i="6" a="1"/>
  <c r="C24" i="6" s="1"/>
  <c r="E31" i="6" a="1"/>
  <c r="E31" i="6" s="1"/>
  <c r="C31" i="6" a="1"/>
  <c r="C31" i="6" s="1"/>
  <c r="G31" i="6" a="1"/>
  <c r="G31" i="6" s="1"/>
  <c r="H31" i="6" a="1"/>
  <c r="H31" i="6" s="1"/>
  <c r="H30" i="6" a="1"/>
  <c r="H30" i="6" s="1"/>
  <c r="C30" i="6" a="1"/>
  <c r="C30" i="6" s="1"/>
  <c r="B30" i="6" s="1"/>
  <c r="E30" i="6" a="1"/>
  <c r="E30" i="6" s="1"/>
  <c r="G30" i="6" a="1"/>
  <c r="G30" i="6" s="1"/>
  <c r="C40" i="6" a="1"/>
  <c r="C40" i="6" s="1"/>
  <c r="H40" i="6" a="1"/>
  <c r="H40" i="6" s="1"/>
  <c r="E40" i="6" a="1"/>
  <c r="E40" i="6" s="1"/>
  <c r="G40" i="6" a="1"/>
  <c r="G40" i="6" s="1"/>
  <c r="H35" i="6" a="1"/>
  <c r="H35" i="6" s="1"/>
  <c r="C35" i="6" a="1"/>
  <c r="C35" i="6" s="1"/>
  <c r="G35" i="6" a="1"/>
  <c r="G35" i="6" s="1"/>
  <c r="E35" i="6" a="1"/>
  <c r="E35" i="6" s="1"/>
  <c r="E29" i="6" a="1"/>
  <c r="E29" i="6" s="1"/>
  <c r="H29" i="6" a="1"/>
  <c r="H29" i="6" s="1"/>
  <c r="G29" i="6" a="1"/>
  <c r="G29" i="6" s="1"/>
  <c r="C29" i="6" a="1"/>
  <c r="C29" i="6" s="1"/>
  <c r="G25" i="6" a="1"/>
  <c r="G25" i="6" s="1"/>
  <c r="H25" i="6" a="1"/>
  <c r="H25" i="6" s="1"/>
  <c r="C25" i="6" a="1"/>
  <c r="C25" i="6" s="1"/>
  <c r="B25" i="6" s="1"/>
  <c r="E25" i="6" a="1"/>
  <c r="E25" i="6" s="1"/>
  <c r="G32" i="6" a="1"/>
  <c r="G32" i="6" s="1"/>
  <c r="C32" i="6" a="1"/>
  <c r="C32" i="6" s="1"/>
  <c r="E32" i="6" a="1"/>
  <c r="E32" i="6" s="1"/>
  <c r="H32" i="6" a="1"/>
  <c r="H32" i="6" s="1"/>
  <c r="E21" i="6" a="1"/>
  <c r="E21" i="6" s="1"/>
  <c r="C21" i="6" a="1"/>
  <c r="C21" i="6" s="1"/>
  <c r="B21" i="6" s="1"/>
  <c r="H21" i="6" a="1"/>
  <c r="H21" i="6" s="1"/>
  <c r="G21" i="6" a="1"/>
  <c r="G21" i="6" s="1"/>
  <c r="C22" i="6" a="1"/>
  <c r="C22" i="6" s="1"/>
  <c r="E22" i="6" a="1"/>
  <c r="E22" i="6" s="1"/>
  <c r="H22" i="6" a="1"/>
  <c r="H22" i="6" s="1"/>
  <c r="G22" i="6" a="1"/>
  <c r="G22" i="6" s="1"/>
  <c r="G26" i="6" a="1"/>
  <c r="G26" i="6" s="1"/>
  <c r="H26" i="6" a="1"/>
  <c r="H26" i="6" s="1"/>
  <c r="E26" i="6" a="1"/>
  <c r="E26" i="6" s="1"/>
  <c r="C26" i="6" a="1"/>
  <c r="C26" i="6" s="1"/>
  <c r="B26" i="6" s="1"/>
  <c r="H42" i="6" a="1"/>
  <c r="H42" i="6" s="1"/>
  <c r="G42" i="6" a="1"/>
  <c r="G42" i="6" s="1"/>
  <c r="E42" i="6" a="1"/>
  <c r="E42" i="6" s="1"/>
  <c r="C42" i="6" a="1"/>
  <c r="C42" i="6" s="1"/>
  <c r="E23" i="6" a="1"/>
  <c r="E23" i="6" s="1"/>
  <c r="H23" i="6" a="1"/>
  <c r="H23" i="6" s="1"/>
  <c r="C23" i="6" a="1"/>
  <c r="C23" i="6" s="1"/>
  <c r="G23" i="6" a="1"/>
  <c r="G23" i="6" s="1"/>
  <c r="H36" i="6" a="1"/>
  <c r="H36" i="6" s="1"/>
  <c r="C36" i="6" a="1"/>
  <c r="C36" i="6" s="1"/>
  <c r="G36" i="6" a="1"/>
  <c r="G36" i="6" s="1"/>
  <c r="E36" i="6" a="1"/>
  <c r="E36" i="6" s="1"/>
  <c r="C27" i="6" a="1"/>
  <c r="C27" i="6" s="1"/>
  <c r="B27" i="6" s="1"/>
  <c r="H27" i="6" a="1"/>
  <c r="H27" i="6" s="1"/>
  <c r="E27" i="6" a="1"/>
  <c r="E27" i="6" s="1"/>
  <c r="G27" i="6" a="1"/>
  <c r="G27" i="6" s="1"/>
  <c r="E37" i="6" a="1"/>
  <c r="E37" i="6" s="1"/>
  <c r="C37" i="6" a="1"/>
  <c r="C37" i="6" s="1"/>
  <c r="H37" i="6" a="1"/>
  <c r="H37" i="6" s="1"/>
  <c r="G37" i="6" a="1"/>
  <c r="G37" i="6" s="1"/>
  <c r="E28" i="6" a="1"/>
  <c r="E28" i="6" s="1"/>
  <c r="G28" i="6" a="1"/>
  <c r="G28" i="6" s="1"/>
  <c r="C28" i="6" a="1"/>
  <c r="C28" i="6" s="1"/>
  <c r="B28" i="6" s="1"/>
  <c r="H28" i="6" a="1"/>
  <c r="H28" i="6" s="1"/>
  <c r="G34" i="6" a="1"/>
  <c r="G34" i="6" s="1"/>
  <c r="C34" i="6" a="1"/>
  <c r="C34" i="6" s="1"/>
  <c r="H34" i="6" a="1"/>
  <c r="H34" i="6" s="1"/>
  <c r="E34" i="6" a="1"/>
  <c r="E34" i="6" s="1"/>
  <c r="H39" i="6" a="1"/>
  <c r="H39" i="6" s="1"/>
  <c r="E39" i="6" a="1"/>
  <c r="E39" i="6" s="1"/>
  <c r="G39" i="6" a="1"/>
  <c r="G39" i="6" s="1"/>
  <c r="C39" i="6" a="1"/>
  <c r="C39" i="6" s="1"/>
  <c r="C41" i="6" a="1"/>
  <c r="C41" i="6" s="1"/>
  <c r="H41" i="6" a="1"/>
  <c r="H41" i="6" s="1"/>
  <c r="G41" i="6" a="1"/>
  <c r="G41" i="6" s="1"/>
  <c r="E41" i="6" a="1"/>
  <c r="E41" i="6" s="1"/>
  <c r="C33" i="6" a="1"/>
  <c r="C33" i="6" s="1"/>
  <c r="G33" i="6" a="1"/>
  <c r="G33" i="6" s="1"/>
  <c r="H33" i="6" a="1"/>
  <c r="H33" i="6" s="1"/>
  <c r="E33" i="6" a="1"/>
  <c r="E33" i="6" s="1"/>
  <c r="E38" i="6" a="1"/>
  <c r="E38" i="6" s="1"/>
  <c r="C38" i="6" a="1"/>
  <c r="C38" i="6" s="1"/>
  <c r="H38" i="6" a="1"/>
  <c r="H38" i="6" s="1"/>
  <c r="G38" i="6" a="1"/>
  <c r="G38" i="6" s="1"/>
  <c r="C17" i="6"/>
  <c r="G17" i="6"/>
  <c r="G15" i="6"/>
  <c r="C15" i="6"/>
  <c r="G16" i="6"/>
  <c r="C16" i="6"/>
  <c r="C18" i="6"/>
  <c r="G18" i="6"/>
  <c r="A11" i="13" a="1"/>
  <c r="A11" i="13" s="1"/>
  <c r="A3" i="13" a="1"/>
  <c r="A3" i="13" s="1"/>
  <c r="A9" i="13" a="1"/>
  <c r="A9" i="13" s="1"/>
  <c r="I24" i="6" l="1"/>
  <c r="I34" i="6"/>
  <c r="I33" i="6"/>
  <c r="I25" i="6"/>
  <c r="B22" i="6"/>
  <c r="B23" i="6" s="1"/>
  <c r="B24" i="6" s="1"/>
  <c r="I30" i="6"/>
  <c r="B31" i="6"/>
  <c r="I26" i="6"/>
  <c r="I31" i="6"/>
  <c r="I28" i="6"/>
  <c r="B32" i="6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I29" i="6"/>
  <c r="I40" i="6"/>
  <c r="I35" i="6"/>
  <c r="I32" i="6"/>
  <c r="I21" i="6"/>
  <c r="I22" i="6"/>
  <c r="I23" i="6"/>
  <c r="I36" i="6"/>
  <c r="I37" i="6"/>
  <c r="I27" i="6"/>
  <c r="B29" i="6"/>
  <c r="I39" i="6"/>
  <c r="I41" i="6"/>
  <c r="I38" i="6"/>
  <c r="I42" i="6"/>
  <c r="I43" i="6" l="1"/>
  <c r="I45" i="6" s="1"/>
  <c r="I47" i="6" s="1"/>
  <c r="I49" i="6" s="1"/>
  <c r="A5" i="13" a="1"/>
  <c r="A5" i="13" s="1"/>
  <c r="A4" i="13" a="1"/>
  <c r="A4" i="1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<sst xmlns="http://schemas.openxmlformats.org/spreadsheetml/2006/main" count="1119" uniqueCount="148">
  <si>
    <t>INVOICE</t>
  </si>
  <si>
    <t>DATE</t>
  </si>
  <si>
    <t>INVOICE NO.</t>
  </si>
  <si>
    <t>BILL TO</t>
  </si>
  <si>
    <t>SHIP TO</t>
  </si>
  <si>
    <t>DESCRIPTION</t>
  </si>
  <si>
    <t>QUANTITY</t>
  </si>
  <si>
    <r>
      <rPr>
        <sz val="20"/>
        <color theme="1"/>
        <rFont val="Trebuchet MS (Body)"/>
      </rPr>
      <t xml:space="preserve">ULINK LLC </t>
    </r>
    <r>
      <rPr>
        <sz val="12"/>
        <color theme="1"/>
        <rFont val="Trebuchet MS"/>
        <family val="2"/>
        <scheme val="minor"/>
      </rPr>
      <t xml:space="preserve">
6853 Olive Blvd, Saint Louis, MO 63130
+1 314 452 7023</t>
    </r>
  </si>
  <si>
    <t>UNIT PRICE</t>
  </si>
  <si>
    <t>TOTAL</t>
  </si>
  <si>
    <t>SUBTOTAL</t>
  </si>
  <si>
    <t>DISCOUNT</t>
  </si>
  <si>
    <t>SUBTOTAL LESS DISCOUNT</t>
  </si>
  <si>
    <t>TAX RATE</t>
  </si>
  <si>
    <t>TOTAL TAX</t>
  </si>
  <si>
    <t>SHIPPING HANDLING</t>
  </si>
  <si>
    <t>BALANCE DUE</t>
  </si>
  <si>
    <t>Song Hy Market</t>
  </si>
  <si>
    <t>10932 Westminster Ave, Garden Grove, CA 92843</t>
  </si>
  <si>
    <t>Beef Jerky</t>
  </si>
  <si>
    <t>Chicken Jerky</t>
  </si>
  <si>
    <t>UL00006</t>
  </si>
  <si>
    <t>Pure Harmony Nails &amp; Spa</t>
  </si>
  <si>
    <t>3860 S Meridian Suite 2, Puyallup, WA 98373</t>
  </si>
  <si>
    <t>Premium White Towel 16"x28"</t>
  </si>
  <si>
    <t>Premium White Towel 13"x13"</t>
  </si>
  <si>
    <t>UNIT</t>
  </si>
  <si>
    <t>Dozen</t>
  </si>
  <si>
    <t>ULINK LLC</t>
  </si>
  <si>
    <t xml:space="preserve">        6853 Olive Blvd, Saint Louis MO 63130</t>
  </si>
  <si>
    <t xml:space="preserve">       (314) 452 7023</t>
  </si>
  <si>
    <t xml:space="preserve">       (713) 903 0933</t>
  </si>
  <si>
    <t>UL0007</t>
  </si>
  <si>
    <t>Premium Brown Towel 13"x13"</t>
  </si>
  <si>
    <t>Premium Brown Towel 16"x28"</t>
  </si>
  <si>
    <t>Premium Turquoise Towel 13"x13"</t>
  </si>
  <si>
    <t>Premium Navy Towel 13"x13"</t>
  </si>
  <si>
    <t>Premium Yellow Towel 13"x13"</t>
  </si>
  <si>
    <t>Premium Gray Towel 13"x13"</t>
  </si>
  <si>
    <t>Premium Pink Towel 13"x13"</t>
  </si>
  <si>
    <t>Premium Black Towel 13"x13"</t>
  </si>
  <si>
    <t>Premium Green Towel 13"x13"</t>
  </si>
  <si>
    <t>Premium Orange Towel 13"x13"</t>
  </si>
  <si>
    <t>2715 Meadow Lake Drive,</t>
  </si>
  <si>
    <t>Grand Prairie TX 75050</t>
  </si>
  <si>
    <t>Lan Le</t>
  </si>
  <si>
    <t xml:space="preserve">Lan </t>
  </si>
  <si>
    <t>8506 Olive Blvd</t>
  </si>
  <si>
    <t>16x28 - White Hand Towel Premium</t>
  </si>
  <si>
    <t>16x28 - Black Hand Towel Premium</t>
  </si>
  <si>
    <t>16x28 - Gray Hand Towel Premium</t>
  </si>
  <si>
    <t>16x28 - Yellow Hand Towel Premium</t>
  </si>
  <si>
    <t>16x28 - Turquoise Hand Towel Premium</t>
  </si>
  <si>
    <t>16x28 - Orange Hand Towel Premium</t>
  </si>
  <si>
    <t>16x28 - Pink Hand Towel Premium</t>
  </si>
  <si>
    <t>16x28 - Teal Hand Towel Premium</t>
  </si>
  <si>
    <t>16x28 - Green Hand Towel Premium</t>
  </si>
  <si>
    <t>16x28 - Navy Hand Towel Premium</t>
  </si>
  <si>
    <t>16x28 - Brown Hand Towel Premium</t>
  </si>
  <si>
    <t>13x13 - White Washcloth Premium</t>
  </si>
  <si>
    <t>13x13 - Black Washcloth Premium</t>
  </si>
  <si>
    <t>13x13 - Gray Washcloth Premium</t>
  </si>
  <si>
    <t>13x13 - Yellow Washcloth Premium</t>
  </si>
  <si>
    <t>13x13 - Turquoise Washcloth Premium</t>
  </si>
  <si>
    <t>13x13 - Orange Washcloth Premium</t>
  </si>
  <si>
    <t>13x13 - Pink Washcloth Premium</t>
  </si>
  <si>
    <t>13x13 - Teal Washcloth Premium</t>
  </si>
  <si>
    <t>13x13 - Green Washcloth Premium</t>
  </si>
  <si>
    <t>13x13 - Navy Washcloth Premium</t>
  </si>
  <si>
    <t>13x13 - Brown Washcloth Premium</t>
  </si>
  <si>
    <t>Item Description</t>
  </si>
  <si>
    <t>UOM</t>
  </si>
  <si>
    <t>Quantity</t>
  </si>
  <si>
    <t>Unit Price</t>
  </si>
  <si>
    <t>Total</t>
  </si>
  <si>
    <t>NO.</t>
  </si>
  <si>
    <t>No.</t>
  </si>
  <si>
    <t>Date</t>
  </si>
  <si>
    <t>Invoice No.</t>
  </si>
  <si>
    <t>Client</t>
  </si>
  <si>
    <t>Thanh Tran - TT Nail Supply LLC</t>
  </si>
  <si>
    <t>St Louis MO 63132</t>
  </si>
  <si>
    <t>World Market</t>
  </si>
  <si>
    <t>3900 S Grand Blvd</t>
  </si>
  <si>
    <t xml:space="preserve"> St. Louis, MO 63118</t>
  </si>
  <si>
    <t>Tele</t>
  </si>
  <si>
    <t>Address</t>
  </si>
  <si>
    <t>City</t>
  </si>
  <si>
    <t>ZIP Code</t>
  </si>
  <si>
    <t>St. Louis, MO 63118</t>
  </si>
  <si>
    <t>Thuy Ta</t>
  </si>
  <si>
    <t>2244 Quail Run Road</t>
  </si>
  <si>
    <t>Arlington, TX 76014</t>
  </si>
  <si>
    <t>Nghia Cuticle Nipper D-01</t>
  </si>
  <si>
    <t>Pc</t>
  </si>
  <si>
    <t>Flash Professional Cuticle Nipper F-01 Jaw 14</t>
  </si>
  <si>
    <t>St. Louis, MO 63132</t>
  </si>
  <si>
    <t>UL00010</t>
  </si>
  <si>
    <t>Châu</t>
  </si>
  <si>
    <t>2180 South Loudoun St</t>
  </si>
  <si>
    <t>Winchester, VA 22601</t>
  </si>
  <si>
    <t>SPA LINER BLUE 1150MMX1150MM</t>
  </si>
  <si>
    <t>Case</t>
  </si>
  <si>
    <t>Ms. Châu - Beauty Nails</t>
  </si>
  <si>
    <t>LDPE PARAFFIN LINER 12X17</t>
  </si>
  <si>
    <t>PEDICURE KIT 4</t>
  </si>
  <si>
    <t>GENERIC TOWELS</t>
  </si>
  <si>
    <t>HDPE PARAFFIN LINER 12X17</t>
  </si>
  <si>
    <t>SPA LINER BLUE 1150MMX1150MM (RETURN)</t>
  </si>
  <si>
    <t>8805 Gravois Rd</t>
  </si>
  <si>
    <t>Affton, MO 63123</t>
  </si>
  <si>
    <t>EVA TOE SEPARATORS</t>
  </si>
  <si>
    <t>HDPE PARAFFIN LINER HEADER BAG 13X17"</t>
  </si>
  <si>
    <t>GENERIC TOWELS 16x28</t>
  </si>
  <si>
    <t>GENERIC TOWELS 13x13</t>
  </si>
  <si>
    <t>Michelle &amp; Jeff</t>
  </si>
  <si>
    <t>31 Forum Shopping Center</t>
  </si>
  <si>
    <t>Chesterfield, MO 63017</t>
  </si>
  <si>
    <t>SLIPPERS 2.5MM</t>
  </si>
  <si>
    <t>Affton Nail Supply</t>
  </si>
  <si>
    <r>
      <t xml:space="preserve">April 17, 2025 - </t>
    </r>
    <r>
      <rPr>
        <b/>
        <sz val="12"/>
        <color theme="1"/>
        <rFont val="Trebuchet MS"/>
        <family val="2"/>
        <scheme val="minor"/>
      </rPr>
      <t>UL0009</t>
    </r>
  </si>
  <si>
    <r>
      <t xml:space="preserve">April 12, 2025 - </t>
    </r>
    <r>
      <rPr>
        <b/>
        <sz val="12"/>
        <color theme="1"/>
        <rFont val="Trebuchet MS"/>
        <family val="2"/>
        <scheme val="minor"/>
      </rPr>
      <t>UL0006</t>
    </r>
    <r>
      <rPr>
        <sz val="12"/>
        <color theme="1"/>
        <rFont val="Trebuchet MS"/>
        <family val="2"/>
        <scheme val="minor"/>
      </rPr>
      <t xml:space="preserve"> - </t>
    </r>
    <r>
      <rPr>
        <i/>
        <sz val="12"/>
        <color theme="1"/>
        <rFont val="Trebuchet MS"/>
        <family val="2"/>
        <scheme val="minor"/>
      </rPr>
      <t>Pure Harmony Nails &amp; Spa</t>
    </r>
    <r>
      <rPr>
        <sz val="12"/>
        <color theme="1"/>
        <rFont val="Trebuchet MS"/>
        <family val="2"/>
        <scheme val="minor"/>
      </rPr>
      <t xml:space="preserve"> - Seatle</t>
    </r>
  </si>
  <si>
    <r>
      <t xml:space="preserve">April 30, 2025 - </t>
    </r>
    <r>
      <rPr>
        <b/>
        <sz val="12"/>
        <color theme="1"/>
        <rFont val="Trebuchet MS"/>
        <family val="2"/>
        <scheme val="minor"/>
      </rPr>
      <t>UL0010</t>
    </r>
    <r>
      <rPr>
        <sz val="12"/>
        <color theme="1"/>
        <rFont val="Trebuchet MS"/>
        <family val="2"/>
        <scheme val="minor"/>
      </rPr>
      <t xml:space="preserve"> - </t>
    </r>
    <r>
      <rPr>
        <i/>
        <sz val="12"/>
        <color theme="1"/>
        <rFont val="Trebuchet MS"/>
        <family val="2"/>
        <scheme val="minor"/>
      </rPr>
      <t>Mr.Ken</t>
    </r>
  </si>
  <si>
    <r>
      <t xml:space="preserve">July 21, 2025 - </t>
    </r>
    <r>
      <rPr>
        <b/>
        <sz val="12"/>
        <color theme="1"/>
        <rFont val="Trebuchet MS"/>
        <family val="2"/>
        <scheme val="minor"/>
      </rPr>
      <t>UL0016</t>
    </r>
  </si>
  <si>
    <t>Cee Cee Nail And Spa St. Louis</t>
  </si>
  <si>
    <t>2961 Dougherty Ferry Rd Suite 107</t>
  </si>
  <si>
    <t>St. Louis, MO 63122</t>
  </si>
  <si>
    <t>Flash Professional Cuticle Nipper F-03 Jaw 14</t>
  </si>
  <si>
    <t>Flash Professional Cuticle Nipper F-03 Jaw 16</t>
  </si>
  <si>
    <t>Block Calendar</t>
  </si>
  <si>
    <t>Block</t>
  </si>
  <si>
    <t>Folded Calendar</t>
  </si>
  <si>
    <t>Pcs</t>
  </si>
  <si>
    <t>PEDICURE KIT 3</t>
  </si>
  <si>
    <t>FIRST CLASS NAILS &amp; SPA II</t>
  </si>
  <si>
    <t>6949 La Tijera Blvd Ste B</t>
  </si>
  <si>
    <t>Los Angeles, CA 90045-1916</t>
  </si>
  <si>
    <t>Zelle : +1 (713) 903-0933 - ULINK LLC
Venmo : @Thai-Ulive
CashApp : $thaiulive
Paypal : ulinkllc@gmail.com</t>
  </si>
  <si>
    <t>Song hy Market</t>
  </si>
  <si>
    <t>10932 Westminster Ave</t>
  </si>
  <si>
    <t>Garden Grove, CA 92843</t>
  </si>
  <si>
    <t>Khô Bò</t>
  </si>
  <si>
    <t>Gà Sấy Lá Chanh</t>
  </si>
  <si>
    <t>Ổi Hồng Sấy Muối Ớt</t>
  </si>
  <si>
    <t>Khoai Lang Sấy Mật Ong</t>
  </si>
  <si>
    <t>Hoang Ha</t>
  </si>
  <si>
    <t>2622 Arica Ln</t>
  </si>
  <si>
    <t>Spring, TX 77373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</si>
</sst>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&quot;$&quot;\ \ \ #,##0.00"/>
    <numFmt numFmtId="165" formatCode="[&lt;=9999999]###\-####;\(###\)\ ###\-####"/>
    <numFmt numFmtId="166" formatCode="&quot;$&quot;#,##0.00"/>
    <numFmt numFmtId="167" formatCode="[$-409]mmmm\ d\,\ yyyy;@"/>
    <numFmt numFmtId="168" formatCode="\U\L0000"/>
  </numFmts>
  <fonts count="11" x14ac:knownFonts="1">
    <font>
      <sz val="12"/>
      <color theme="1"/>
      <name val="Trebuchet MS"/>
      <family val="2"/>
      <scheme val="minor"/>
    </font>
    <font>
      <b/>
      <sz val="12"/>
      <color theme="0"/>
      <name val="Trebuchet MS"/>
      <family val="2"/>
      <scheme val="minor"/>
    </font>
    <font>
      <sz val="20"/>
      <color theme="1"/>
      <name val="Trebuchet MS"/>
      <family val="2"/>
      <scheme val="minor"/>
    </font>
    <font>
      <sz val="28"/>
      <color theme="1"/>
      <name val="Trebuchet MS"/>
      <family val="2"/>
      <scheme val="minor"/>
    </font>
    <font>
      <sz val="20"/>
      <color theme="1"/>
      <name val="Trebuchet MS (Body)"/>
    </font>
    <font>
      <sz val="12"/>
      <color theme="1"/>
      <name val="Trebuchet MS"/>
      <family val="2"/>
      <scheme val="minor"/>
    </font>
    <font>
      <sz val="24"/>
      <color theme="1"/>
      <name val="Trebuchet MS"/>
      <family val="2"/>
      <scheme val="minor"/>
    </font>
    <font>
      <sz val="18"/>
      <color rgb="FF000000"/>
      <name val="Aptos Narrow"/>
    </font>
    <font>
      <sz val="12"/>
      <color rgb="FF000000"/>
      <name val="Trebuchet MS"/>
      <family val="2"/>
      <scheme val="minor"/>
    </font>
    <font>
      <b/>
      <sz val="12"/>
      <color theme="1"/>
      <name val="Trebuchet MS"/>
      <family val="2"/>
      <scheme val="minor"/>
    </font>
    <font>
      <i/>
      <sz val="12"/>
      <color theme="1"/>
      <name val="Trebuchet M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3" borderId="0" xfId="0" applyFill="1"/>
    <xf numFmtId="0" fontId="0" fillId="3" borderId="0" xfId="0" applyFill="1" applyAlignment="1">
      <alignment vertical="center" wrapText="1"/>
    </xf>
    <xf numFmtId="0" fontId="0" fillId="0" borderId="0" xfId="0" applyAlignment="1">
      <alignment vertical="center"/>
    </xf>
    <xf numFmtId="0" fontId="1" fillId="2" borderId="0" xfId="0" applyFont="1" applyFill="1" applyAlignment="1">
      <alignment horizontal="center"/>
    </xf>
    <xf numFmtId="0" fontId="0" fillId="0" borderId="5" xfId="0" applyBorder="1"/>
    <xf numFmtId="0" fontId="0" fillId="0" borderId="0" xfId="0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0" fillId="0" borderId="1" xfId="0" applyBorder="1" applyAlignment="1">
      <alignment horizontal="left" vertical="center"/>
    </xf>
    <xf numFmtId="44" fontId="0" fillId="0" borderId="5" xfId="1" applyFont="1" applyBorder="1"/>
    <xf numFmtId="165" fontId="0" fillId="0" borderId="0" xfId="0" applyNumberFormat="1" applyAlignment="1">
      <alignment horizontal="left"/>
    </xf>
    <xf numFmtId="0" fontId="0" fillId="0" borderId="3" xfId="0" applyBorder="1" applyAlignment="1">
      <alignment horizontal="right"/>
    </xf>
    <xf numFmtId="166" fontId="0" fillId="0" borderId="3" xfId="1" applyNumberFormat="1" applyFont="1" applyBorder="1"/>
    <xf numFmtId="0" fontId="0" fillId="0" borderId="12" xfId="0" applyBorder="1" applyAlignment="1">
      <alignment horizontal="right"/>
    </xf>
    <xf numFmtId="166" fontId="0" fillId="0" borderId="12" xfId="1" applyNumberFormat="1" applyFont="1" applyBorder="1"/>
    <xf numFmtId="0" fontId="0" fillId="0" borderId="12" xfId="0" applyBorder="1"/>
    <xf numFmtId="44" fontId="0" fillId="0" borderId="12" xfId="1" applyFont="1" applyBorder="1"/>
    <xf numFmtId="0" fontId="0" fillId="3" borderId="0" xfId="0" applyFill="1" applyAlignment="1">
      <alignment horizontal="right"/>
    </xf>
    <xf numFmtId="0" fontId="6" fillId="3" borderId="0" xfId="0" applyFont="1" applyFill="1" applyAlignment="1">
      <alignment horizontal="left" vertical="center" wrapText="1"/>
    </xf>
    <xf numFmtId="0" fontId="0" fillId="0" borderId="12" xfId="0" applyBorder="1" applyAlignment="1">
      <alignment horizontal="center"/>
    </xf>
    <xf numFmtId="0" fontId="9" fillId="0" borderId="0" xfId="0" applyFont="1"/>
    <xf numFmtId="14" fontId="9" fillId="0" borderId="0" xfId="0" applyNumberFormat="1" applyFont="1"/>
    <xf numFmtId="14" fontId="0" fillId="0" borderId="0" xfId="0" applyNumberFormat="1"/>
    <xf numFmtId="168" fontId="9" fillId="0" borderId="0" xfId="0" applyNumberFormat="1" applyFont="1"/>
    <xf numFmtId="168" fontId="0" fillId="0" borderId="0" xfId="0" applyNumberFormat="1"/>
    <xf numFmtId="166" fontId="9" fillId="0" borderId="0" xfId="0" applyNumberFormat="1" applyFont="1"/>
    <xf numFmtId="166" fontId="0" fillId="0" borderId="0" xfId="0" applyNumberFormat="1"/>
    <xf numFmtId="165" fontId="9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12" xfId="0" applyBorder="1" applyAlignment="1">
      <alignment horizontal="left"/>
    </xf>
    <xf numFmtId="166" fontId="0" fillId="0" borderId="13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4" fontId="2" fillId="0" borderId="1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67" fontId="0" fillId="3" borderId="1" xfId="0" applyNumberForma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166" fontId="0" fillId="0" borderId="2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8" fillId="0" borderId="13" xfId="0" applyFont="1" applyBorder="1" applyAlignment="1">
      <alignment horizontal="left"/>
    </xf>
    <xf numFmtId="0" fontId="8" fillId="0" borderId="14" xfId="0" applyFont="1" applyBorder="1" applyAlignment="1">
      <alignment horizontal="left"/>
    </xf>
    <xf numFmtId="0" fontId="1" fillId="2" borderId="15" xfId="0" applyFont="1" applyFill="1" applyBorder="1" applyAlignment="1">
      <alignment horizontal="center"/>
    </xf>
    <xf numFmtId="0" fontId="0" fillId="0" borderId="8" xfId="0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13" Type="http://schemas.openxmlformats.org/officeDocument/2006/relationships/worksheet" Target="worksheets/sheet13.xml" /><ns0:Relationship Id="rId18" Type="http://schemas.openxmlformats.org/officeDocument/2006/relationships/worksheet" Target="worksheets/sheet18.xml" /><ns0:Relationship Id="rId26" Type="http://schemas.openxmlformats.org/officeDocument/2006/relationships/worksheet" Target="worksheets/sheet26.xml" /><ns0:Relationship Id="rId39" Type="http://schemas.microsoft.com/office/2017/06/relationships/rdRichValueStructure" Target="richData/rdrichvaluestructure.xml" /><ns0:Relationship Id="rId21" Type="http://schemas.openxmlformats.org/officeDocument/2006/relationships/worksheet" Target="worksheets/sheet21.xml" /><ns0:Relationship Id="rId34" Type="http://schemas.openxmlformats.org/officeDocument/2006/relationships/styles" Target="styles.xml" /><ns0:Relationship Id="rId42" Type="http://schemas.microsoft.com/office/2006/relationships/vbaProject" Target="vbaProject.bin" /><ns0:Relationship Id="rId7" Type="http://schemas.openxmlformats.org/officeDocument/2006/relationships/worksheet" Target="worksheets/sheet7.xml" /><ns0:Relationship Id="rId2" Type="http://schemas.openxmlformats.org/officeDocument/2006/relationships/worksheet" Target="worksheets/sheet2.xml" /><ns0:Relationship Id="rId16" Type="http://schemas.openxmlformats.org/officeDocument/2006/relationships/worksheet" Target="worksheets/sheet16.xml" /><ns0:Relationship Id="rId20" Type="http://schemas.openxmlformats.org/officeDocument/2006/relationships/worksheet" Target="worksheets/sheet20.xml" /><ns0:Relationship Id="rId29" Type="http://schemas.openxmlformats.org/officeDocument/2006/relationships/worksheet" Target="worksheets/sheet29.xml" /><ns0:Relationship Id="rId41" Type="http://schemas.openxmlformats.org/officeDocument/2006/relationships/calcChain" Target="calcChain.xml" /><ns0:Relationship Id="rId1" Type="http://schemas.openxmlformats.org/officeDocument/2006/relationships/worksheet" Target="worksheets/sheet1.xml" /><ns0:Relationship Id="rId6" Type="http://schemas.openxmlformats.org/officeDocument/2006/relationships/worksheet" Target="worksheets/sheet6.xml" /><ns0:Relationship Id="rId11" Type="http://schemas.openxmlformats.org/officeDocument/2006/relationships/worksheet" Target="worksheets/sheet11.xml" /><ns0:Relationship Id="rId24" Type="http://schemas.openxmlformats.org/officeDocument/2006/relationships/worksheet" Target="worksheets/sheet24.xml" /><ns0:Relationship Id="rId37" Type="http://schemas.microsoft.com/office/2022/10/relationships/richValueRel" Target="richData/richValueRel.xml" /><ns0:Relationship Id="rId40" Type="http://schemas.microsoft.com/office/2017/06/relationships/rdRichValueTypes" Target="richData/rdRichValueTypes.xml" /><ns0:Relationship Id="rId5" Type="http://schemas.openxmlformats.org/officeDocument/2006/relationships/worksheet" Target="worksheets/sheet5.xml" /><ns0:Relationship Id="rId15" Type="http://schemas.openxmlformats.org/officeDocument/2006/relationships/worksheet" Target="worksheets/sheet15.xml" /><ns0:Relationship Id="rId23" Type="http://schemas.openxmlformats.org/officeDocument/2006/relationships/worksheet" Target="worksheets/sheet23.xml" /><ns0:Relationship Id="rId28" Type="http://schemas.openxmlformats.org/officeDocument/2006/relationships/worksheet" Target="worksheets/sheet28.xml" /><ns0:Relationship Id="rId36" Type="http://schemas.openxmlformats.org/officeDocument/2006/relationships/sheetMetadata" Target="metadata.xml" /><ns0:Relationship Id="rId10" Type="http://schemas.openxmlformats.org/officeDocument/2006/relationships/worksheet" Target="worksheets/sheet10.xml" /><ns0:Relationship Id="rId19" Type="http://schemas.openxmlformats.org/officeDocument/2006/relationships/worksheet" Target="worksheets/sheet19.xml" /><ns0:Relationship Id="rId31" Type="http://schemas.openxmlformats.org/officeDocument/2006/relationships/worksheet" Target="worksheets/sheet31.xml" /><ns0:Relationship Id="rId4" Type="http://schemas.openxmlformats.org/officeDocument/2006/relationships/worksheet" Target="worksheets/sheet4.xml" /><ns0:Relationship Id="rId9" Type="http://schemas.openxmlformats.org/officeDocument/2006/relationships/worksheet" Target="worksheets/sheet9.xml" /><ns0:Relationship Id="rId14" Type="http://schemas.openxmlformats.org/officeDocument/2006/relationships/worksheet" Target="worksheets/sheet14.xml" /><ns0:Relationship Id="rId22" Type="http://schemas.openxmlformats.org/officeDocument/2006/relationships/worksheet" Target="worksheets/sheet22.xml" /><ns0:Relationship Id="rId27" Type="http://schemas.openxmlformats.org/officeDocument/2006/relationships/worksheet" Target="worksheets/sheet27.xml" /><ns0:Relationship Id="rId30" Type="http://schemas.openxmlformats.org/officeDocument/2006/relationships/worksheet" Target="worksheets/sheet30.xml" /><ns0:Relationship Id="rId35" Type="http://schemas.openxmlformats.org/officeDocument/2006/relationships/sharedStrings" Target="sharedStrings.xml" /><ns0:Relationship Id="rId8" Type="http://schemas.openxmlformats.org/officeDocument/2006/relationships/worksheet" Target="worksheets/sheet8.xml" /><ns0:Relationship Id="rId3" Type="http://schemas.openxmlformats.org/officeDocument/2006/relationships/worksheet" Target="worksheets/sheet3.xml" /><ns0:Relationship Id="rId12" Type="http://schemas.openxmlformats.org/officeDocument/2006/relationships/worksheet" Target="worksheets/sheet12.xml" /><ns0:Relationship Id="rId17" Type="http://schemas.openxmlformats.org/officeDocument/2006/relationships/worksheet" Target="worksheets/sheet17.xml" /><ns0:Relationship Id="rId25" Type="http://schemas.openxmlformats.org/officeDocument/2006/relationships/worksheet" Target="worksheets/sheet25.xml" /><ns0:Relationship Id="rId33" Type="http://schemas.openxmlformats.org/officeDocument/2006/relationships/theme" Target="theme/theme1.xml" /><ns0:Relationship Id="rId38" Type="http://schemas.microsoft.com/office/2017/06/relationships/rdRichValue" Target="richData/rdrichvalue.xml" /></ns0: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939800</xdr:colOff>
          <xdr:row>4</xdr:row>
          <xdr:rowOff>38100</xdr:rowOff>
        </xdr:from>
        <xdr:to>
          <xdr:col>8</xdr:col>
          <xdr:colOff>1384300</xdr:colOff>
          <xdr:row>7</xdr:row>
          <xdr:rowOff>25400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ptos Narrow" charset="0"/>
                </a:rPr>
                <a:t>New 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AA843E-158E-F44E-B96F-09DF1F373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53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CA8E0A7-C725-D844-8A59-3B702B4D5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53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3CF5BCF-1A5E-D74C-AA36-CDE81FB4A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120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EBB2DE9-B785-744E-8639-78A300ACC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14107</xdr:colOff>
      <xdr:row>5</xdr:row>
      <xdr:rowOff>84667</xdr:rowOff>
    </xdr:from>
    <xdr:to>
      <xdr:col>2</xdr:col>
      <xdr:colOff>253996</xdr:colOff>
      <xdr:row>5</xdr:row>
      <xdr:rowOff>311465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A9FA328-96BF-8400-5FDF-92B5B35D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3774" y="1749778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14109</xdr:colOff>
      <xdr:row>4</xdr:row>
      <xdr:rowOff>70556</xdr:rowOff>
    </xdr:from>
    <xdr:to>
      <xdr:col>2</xdr:col>
      <xdr:colOff>253998</xdr:colOff>
      <xdr:row>4</xdr:row>
      <xdr:rowOff>297354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6777673-2FA0-9224-9964-F99B78288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3776" y="1411112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1</xdr:col>
      <xdr:colOff>1594553</xdr:colOff>
      <xdr:row>3</xdr:row>
      <xdr:rowOff>4234</xdr:rowOff>
    </xdr:from>
    <xdr:to>
      <xdr:col>2</xdr:col>
      <xdr:colOff>332818</xdr:colOff>
      <xdr:row>4</xdr:row>
      <xdr:rowOff>88900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784E030-D56E-E962-5CDA-FA17A3A0B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19109" y="1020234"/>
          <a:ext cx="403376" cy="4092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183444</xdr:rowOff>
    </xdr:from>
    <xdr:to>
      <xdr:col>1</xdr:col>
      <xdr:colOff>1447800</xdr:colOff>
      <xdr:row>4</xdr:row>
      <xdr:rowOff>241299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5BC226E-12CD-1C9F-8AF2-8E761C6F7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4556" y="578555"/>
          <a:ext cx="1447800" cy="10033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14107</xdr:colOff>
      <xdr:row>5</xdr:row>
      <xdr:rowOff>84667</xdr:rowOff>
    </xdr:from>
    <xdr:to>
      <xdr:col>2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07AF0D-9799-814F-95B2-3C0261B7B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53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14109</xdr:colOff>
      <xdr:row>4</xdr:row>
      <xdr:rowOff>70556</xdr:rowOff>
    </xdr:from>
    <xdr:to>
      <xdr:col>2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6E9D9C-6D4C-A54B-9E87-692C35531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53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1</xdr:col>
      <xdr:colOff>1594553</xdr:colOff>
      <xdr:row>3</xdr:row>
      <xdr:rowOff>4234</xdr:rowOff>
    </xdr:from>
    <xdr:to>
      <xdr:col>2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C9C82BF-E0BC-4B45-AFFB-E607F4219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120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183444</xdr:rowOff>
    </xdr:from>
    <xdr:to>
      <xdr:col>1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0FD417-1DB5-0744-A002-355FBD71D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C4BC073-54F6-4943-9E03-12674E3BB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FC71ECC-BDD2-8044-9C67-B0CC3883A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851CC4-6FF9-434D-869B-7E48F0832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B0EBEA0-0F9C-A144-8427-802D65EEA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067F31-7A69-8240-A4C3-BCAC383A3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789B1BC-D13B-784E-980B-6820605E4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BE82522-F9E3-D74F-8ECD-076F12980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A5E3F98-8BC4-D844-B083-32C1B93ED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E846DC-6B59-7548-AD0F-7A5061009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427D9D-9BCB-8F43-9A79-411233719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53299D-BCDD-2646-97B0-1913DDEE4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7F2B86D-6626-834E-A993-5766D5FFC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9FE9C6-13F4-BD46-8FCA-F6481512B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4F712C-27CA-6246-807E-B7263677F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12AC262-C75D-FB46-A5DB-DC2332C5D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A34DC9C-879B-874F-AFE7-29F238CAB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552184-4365-B844-A8EB-CE69E58A4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26D18E-BA28-734B-B00E-D6F7771B9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3C18F5E-3699-664F-A622-571DAD517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D44CBD2-5322-5D40-93DD-F64D5D08A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0009FF-483C-3447-8411-B59C11DE9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F8C44A-C266-D64C-A207-02A9E5FAF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29737BA-CEED-DE46-9DA6-BFD92E06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8BC3161-F7F7-8743-8FAE-DA02099B4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1A7997-A6B2-1840-9FD7-43ACE6001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A13444-1338-0244-A3E2-070555646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FB7310E-4DD6-5F44-8D89-3681B8FE3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AAC34F7-184B-D04D-B666-0EB0E3626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2393F1-A093-A340-990A-F7BA11CFD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F759C4-D595-FF4F-97AD-294422742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B3BB92-7C48-F84C-8E23-0292EBE9D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83D56BF-44E9-E349-B459-7D9552D5B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37197D-483B-6E45-AFA3-D4584A56A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83ABA-C33F-9D47-A33D-9A0F09540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C54D687-912C-A140-98FA-C523F199A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4777F3-8A1F-614C-A992-A1839B4D9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EE8893-B7B3-5E4A-A707-657F2BBCF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59E306-AA19-4F49-B645-6AF1D8824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DF35313-BB9D-0041-8067-6865E0719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5331BF9-2506-174C-B6DF-C05F01E18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79F877-EA39-314D-BB77-D2EB3B2A3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50FE598-F672-944C-A395-CCAEE8C8B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3C11767-E36D-A44F-9252-0D18B52FA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93E594F-AB4B-B049-9262-61DAA2BCB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171268-0DBE-7447-80DA-F47F1D1F8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C6B1F6C-1B20-6C44-A997-1A04213D7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0EFD64E-1C96-4B49-BC7B-A8DD8E758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CCC7145-4F07-FA42-A766-080931DF8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C07085-49F4-0B4B-BBE2-C098B4C94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8479EBB-398B-574C-AF7C-9DBD739E7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202A2E8-27DE-674E-BE26-7A376F959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DB21FB4-C4D2-AA47-8124-8DBA57C4D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61608E-93DC-BF4A-9C6D-FCDF77984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A12A795-080C-0F4E-B2B7-BC1128D1D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DA0BC64-6DBF-E245-8E92-C03D6C8C9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CAD72D4-1BC3-7641-8C71-5E6A62FF2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B8BBAD-9A8F-A24F-9B39-4EB146862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F7B5CE4-3C0E-6249-BCCC-D2090899B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2B070E6-B216-8547-AAB8-78272B35F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9CA94BE-BF94-4B43-8104-652BDD3F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978068-CFAE-8F4E-BA11-1973B4A5C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90FF2B-C97E-FA44-9FB2-E6982687C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E061534-6ABC-AE47-B8F4-AF974D5A4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DC19311-1ACD-5E4F-90FA-BE504E52E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BAE808-5E0D-E145-BB4C-3B4BD4A57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9322047-1B53-5D4B-BE16-9DBBF9512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40A9593-2451-0440-B131-57975F06B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DF5048-A7F4-414D-BF01-5456A484D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E80DF3-AA34-3F4D-AA15-9333168EA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5FFE3F-FE63-8C45-AB52-FE04C9700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7C65B4-043D-1F48-B4ED-47E1308C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FDEE7EC-B6CB-924F-B8AC-D0E1CA65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A9AB17-0934-EF4A-9604-DCF898292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8256B6D-4E47-6646-8C4A-B484D35BE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008917A-EEF4-7548-A36F-FA44B2DB5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19F3BB8-20B8-CF46-8C7A-CFC0C542C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AE9F85-6ADB-B043-92D1-097EC299A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B4286B-5D86-DA47-A79A-2A477F78D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F9E06FA-7296-F343-A41B-ED1252947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BCD6244-4F0A-FF4C-A89B-A125CD6EC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918E33-1BB5-2D4B-8306-01DB9B48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F49BEEC-DA56-0143-8AF8-D0BCC2450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DB145F5-0E17-064D-BA41-BFA401F55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8411C36-D83A-5848-898B-CB3276349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743D06-095D-CE4D-B38C-E0FE35C17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BC815DE-8824-AB43-AC2E-C18F5D8EE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9535CF8-729A-184F-9A6B-C0487E5F2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F91842-CDF6-7041-933F-0ADA9FCCF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5BEA30-19EA-6445-93BB-5CECB4AF0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7BE0E8-6C69-6B46-9978-31BBBAB86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362A500-7E9A-674B-B343-1EE3A2537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8A0F88-A68E-054D-93E9-210F87C54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22E882-B23F-C141-91D6-451DE3489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180894F-8337-364D-9AB0-7989C7823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5A7E808-CFEE-2945-82F2-ED7EAC6F2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70A2B0C-44F6-514F-9587-FB6CEFCEC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58E10-F5AC-8244-8EDD-9F0DA7758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949773-A34C-AA4D-B5B6-23B0D34D8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8772751-27F3-4F44-9061-0DECBF95F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E45101-C05E-D84A-B439-CCF875A37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14107</xdr:colOff>
      <xdr:row>5</xdr:row>
      <xdr:rowOff>84667</xdr:rowOff>
    </xdr:from>
    <xdr:to>
      <xdr:col>3</xdr:col>
      <xdr:colOff>253996</xdr:colOff>
      <xdr:row>5</xdr:row>
      <xdr:rowOff>311465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CB1DAC4-41CB-AC4B-A951-64A57CF92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7" y="1748367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3</xdr:col>
      <xdr:colOff>14109</xdr:colOff>
      <xdr:row>4</xdr:row>
      <xdr:rowOff>70556</xdr:rowOff>
    </xdr:from>
    <xdr:to>
      <xdr:col>3</xdr:col>
      <xdr:colOff>253998</xdr:colOff>
      <xdr:row>4</xdr:row>
      <xdr:rowOff>297354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614916-D945-D74F-829F-31BD60B37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3009" y="1416756"/>
          <a:ext cx="239889" cy="226798"/>
        </a:xfrm>
        <a:prstGeom prst="rect">
          <a:avLst/>
        </a:prstGeom>
      </xdr:spPr>
    </xdr:pic>
    <xdr:clientData/>
  </xdr:twoCellAnchor>
  <xdr:twoCellAnchor editAs="oneCell">
    <xdr:from>
      <xdr:col>2</xdr:col>
      <xdr:colOff>1594553</xdr:colOff>
      <xdr:row>3</xdr:row>
      <xdr:rowOff>4234</xdr:rowOff>
    </xdr:from>
    <xdr:to>
      <xdr:col>3</xdr:col>
      <xdr:colOff>332818</xdr:colOff>
      <xdr:row>4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8E281B8-5A0E-1F4B-A484-1096487C9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9753" y="1032934"/>
          <a:ext cx="401965" cy="4021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183444</xdr:rowOff>
    </xdr:from>
    <xdr:to>
      <xdr:col>2</xdr:col>
      <xdr:colOff>1447800</xdr:colOff>
      <xdr:row>4</xdr:row>
      <xdr:rowOff>241299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44C658-C5D2-3E4A-BDCC-E20362588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200" y="589844"/>
          <a:ext cx="1447800" cy="99765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Storage%20Management.xlsm" TargetMode="External"/><Relationship Id="rId2" Type="http://schemas.openxmlformats.org/officeDocument/2006/relationships/externalLinkPath" Target="/Users/thanhtungvo/Storage%20Management.xlsm" TargetMode="External"/><Relationship Id="rId1" Type="http://schemas.openxmlformats.org/officeDocument/2006/relationships/externalLinkPath" Target="/Users/thanhtungvo/Storage%20Managem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roduct Info"/>
      <sheetName val="Client Info"/>
      <sheetName val="Storage Count"/>
      <sheetName val="Issue Log"/>
      <sheetName val="Good Issue Note"/>
      <sheetName val="Amazon Issue"/>
    </sheetNames>
    <sheetDataSet>
      <sheetData sheetId="0"/>
      <sheetData sheetId="1"/>
      <sheetData sheetId="2"/>
      <sheetData sheetId="3"/>
      <sheetData sheetId="4">
        <row r="4">
          <cell r="A4">
            <v>1</v>
          </cell>
          <cell r="C4">
            <v>30</v>
          </cell>
          <cell r="D4">
            <v>46052</v>
          </cell>
          <cell r="E4" t="str">
            <v>Song Hy Market</v>
          </cell>
          <cell r="F4">
            <v>7148545588</v>
          </cell>
          <cell r="G4" t="str">
            <v>10932 Westminster Ave</v>
          </cell>
          <cell r="H4" t="str">
            <v>Garden Grove</v>
          </cell>
          <cell r="I4" t="str">
            <v>CA 92843</v>
          </cell>
          <cell r="K4" t="str">
            <v>Khô Bò</v>
          </cell>
          <cell r="L4" t="str">
            <v>Pcs</v>
          </cell>
          <cell r="M4">
            <v>57</v>
          </cell>
          <cell r="N4">
            <v>13</v>
          </cell>
          <cell r="O4">
            <v>741</v>
          </cell>
        </row>
        <row r="5">
          <cell r="A5">
            <v>2</v>
          </cell>
          <cell r="K5" t="str">
            <v>Gà Sấy Lá Chanh</v>
          </cell>
          <cell r="L5" t="str">
            <v>Pcs</v>
          </cell>
          <cell r="M5">
            <v>12</v>
          </cell>
          <cell r="N5">
            <v>9</v>
          </cell>
          <cell r="O5">
            <v>108</v>
          </cell>
        </row>
        <row r="6">
          <cell r="A6">
            <v>3</v>
          </cell>
          <cell r="K6" t="str">
            <v>Khoai Lang Sấy Mật Ong</v>
          </cell>
          <cell r="L6" t="str">
            <v>Pcs</v>
          </cell>
          <cell r="M6">
            <v>14</v>
          </cell>
          <cell r="N6">
            <v>5</v>
          </cell>
          <cell r="O6">
            <v>70</v>
          </cell>
        </row>
        <row r="7">
          <cell r="A7">
            <v>4</v>
          </cell>
          <cell r="K7" t="str">
            <v>Ổi Hồng Sấy Muối Ớt</v>
          </cell>
          <cell r="L7" t="str">
            <v>Pcs</v>
          </cell>
          <cell r="M7">
            <v>3</v>
          </cell>
          <cell r="N7">
            <v>5.5</v>
          </cell>
          <cell r="O7">
            <v>16.5</v>
          </cell>
        </row>
        <row r="8">
          <cell r="A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</row>
        <row r="9">
          <cell r="A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</row>
        <row r="10">
          <cell r="A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</row>
        <row r="11">
          <cell r="A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</row>
        <row r="12">
          <cell r="A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</row>
        <row r="13">
          <cell r="A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</row>
        <row r="14">
          <cell r="A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</row>
        <row r="15">
          <cell r="A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</row>
        <row r="16">
          <cell r="A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</row>
        <row r="17">
          <cell r="A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</row>
        <row r="18">
          <cell r="A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</row>
        <row r="19">
          <cell r="A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</row>
        <row r="20">
          <cell r="A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</row>
        <row r="21">
          <cell r="A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</row>
        <row r="22">
          <cell r="A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</row>
        <row r="23">
          <cell r="A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</row>
        <row r="24">
          <cell r="A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</row>
        <row r="25">
          <cell r="A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</sheetData>
      <sheetData sheetId="5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Berlin">
  <a:themeElements>
    <a:clrScheme name="Berlin">
      <a:dk1>
        <a:sysClr val="windowText" lastClr="000000"/>
      </a:dk1>
      <a:lt1>
        <a:sysClr val="window" lastClr="FFFFFF"/>
      </a:lt1>
      <a:dk2>
        <a:srgbClr val="9D360E"/>
      </a:dk2>
      <a:lt2>
        <a:srgbClr val="E7E6E6"/>
      </a:lt2>
      <a:accent1>
        <a:srgbClr val="F09415"/>
      </a:accent1>
      <a:accent2>
        <a:srgbClr val="C1B56B"/>
      </a:accent2>
      <a:accent3>
        <a:srgbClr val="4BAF73"/>
      </a:accent3>
      <a:accent4>
        <a:srgbClr val="5AA6C0"/>
      </a:accent4>
      <a:accent5>
        <a:srgbClr val="D17DF9"/>
      </a:accent5>
      <a:accent6>
        <a:srgbClr val="FA7E5C"/>
      </a:accent6>
      <a:hlink>
        <a:srgbClr val="FFAE3E"/>
      </a:hlink>
      <a:folHlink>
        <a:srgbClr val="FCC77E"/>
      </a:folHlink>
    </a:clrScheme>
    <a:fontScheme name="Berlin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i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ns1="http://schemas.openxmlformats.org/markup-compatibility/2006" xmlns:ns2="http://schemas.microsoft.com/office/spreadsheetml/2014/revision" xmlns:ns3="http://schemas.microsoft.com/office/spreadsheetml/2009/9/ac" xmlns:ns5="http://schemas.openxmlformats.org/drawingml/2006/spreadsheetDrawing" xmlns:r="http://schemas.openxmlformats.org/officeDocument/2006/relationships" ns1:Ignorable="x14ac xr xr2 xr3" ns2:uid="{9E17C1C0-F2F6-2342-8881-52D784189C26}">
  <sheetPr codeName="Sheet8"/>
  <dimension ref="A1:M23"/>
  <sheetViews>
    <sheetView zoomScale="75" zoomScaleNormal="140" workbookViewId="0">
      <selection activeCell="F5" sqref="F5"/>
    </sheetView>
  </sheetViews>
  <sheetFormatPr baseColWidth="10" defaultRowHeight="16" ns3:dyDescent="0.2"/>
  <cols>
    <col min="2" max="2" width="45" customWidth="1"/>
    <col min="3" max="4" width="16.6640625" customWidth="1"/>
    <col min="5" max="6" width="16.6640625" style="32" customWidth="1"/>
    <col min="7" max="7" width="14.1640625" style="28" customWidth="1"/>
    <col min="8" max="8" width="13.6640625" style="30" customWidth="1"/>
    <col min="9" max="9" width="25.6640625" customWidth="1"/>
    <col min="10" max="10" width="19.1640625" style="34" customWidth="1"/>
    <col min="11" max="11" width="23.1640625" customWidth="1"/>
    <col min="12" max="12" width="19.1640625" customWidth="1"/>
    <col min="13" max="13" width="34.1640625" customWidth="1"/>
  </cols>
  <sheetData>
    <row r="1" spans="1:13" s="26" customFormat="1" ns3:dyDescent="0.2">
      <c r="A1" s="26" t="s">
        <v>76</v>
      </c>
      <c r="B1" s="26" t="s">
        <v>70</v>
      </c>
      <c r="C1" s="26" t="s">
        <v>71</v>
      </c>
      <c r="D1" s="26" t="s">
        <v>72</v>
      </c>
      <c r="E1" s="31" t="s">
        <v>73</v>
      </c>
      <c r="F1" s="31" t="s">
        <v>74</v>
      </c>
      <c r="G1" s="27" t="s">
        <v>77</v>
      </c>
      <c r="H1" s="29" t="s">
        <v>78</v>
      </c>
      <c r="I1" s="26" t="s">
        <v>79</v>
      </c>
      <c r="J1" s="33" t="s">
        <v>85</v>
      </c>
      <c r="K1" s="26" t="s">
        <v>86</v>
      </c>
      <c r="L1" s="26" t="s">
        <v>87</v>
      </c>
      <c r="M1" s="26" t="s">
        <v>88</v>
      </c>
    </row>
    <row r="2" spans="1:13" ns3:dyDescent="0.2">
      <c r="A2">
        <v>1</v>
      </c>
      <c r="B2" t="inlineStr">
        <is>
          <t>16x28 - White Hand Towel Premium</t>
        </is>
      </c>
      <c r="C2" t="inlineStr">
        <is>
          <t>Pc</t>
        </is>
      </c>
      <c r="D2">
        <v>16</v>
      </c>
      <c r="E2" s="32">
        <v>16.00</v>
      </c>
      <c r="F2" s="32">
        <v>256.00</v>
      </c>
      <c r="G2" s="28">
        <v>45759</v>
      </c>
      <c r="H2" s="30">
        <v>6</v>
      </c>
      <c r="I2" t="inlineStr">
        <is>
          <t>World Market</t>
        </is>
      </c>
      <c r="J2" s="34" t="inlineStr">
        <is>
          <t>3143519495</t>
        </is>
      </c>
      <c r="K2" t="inlineStr">
        <is>
          <t>3900 S Grand Blvd</t>
        </is>
      </c>
      <c r="L2" t="inlineStr">
        <is>
          <t>St. Louis</t>
        </is>
      </c>
      <c r="M2" t="inlineStr">
        <is>
          <t>MO 63118</t>
        </is>
      </c>
    </row>
    <row r="3" spans="1:13" ns3:dyDescent="0.2">
      <c r="A3">
        <v>2</v>
      </c>
      <c r="B3" t="inlineStr">
        <is>
          <t>13x13 - White Washcloth Premium</t>
        </is>
      </c>
      <c r="C3" t="inlineStr">
        <is>
          <t>Pc</t>
        </is>
      </c>
      <c r="D3">
        <v>36</v>
      </c>
      <c r="E3" s="32">
        <v>7.00</v>
      </c>
      <c r="F3" s="32">
        <v>252.00</v>
      </c>
    </row>
    <row r="4" spans="1:13" ns3:dyDescent="0.2">
      <c r="A4"/>
      <c r="B4"/>
      <c r="C4"/>
      <c r="D4"/>
      <c r="E4" s="32"/>
      <c r="F4" s="32"/>
    </row>
    <row r="5" spans="1:13" ns3:dyDescent="0.2">
      <c r="A5"/>
      <c r="B5"/>
      <c r="C5"/>
      <c r="D5"/>
      <c r="E5" s="32"/>
      <c r="F5" s="32"/>
    </row>
    <row r="6" spans="1:13" ns3:dyDescent="0.2">
      <c r="A6"/>
      <c r="B6"/>
      <c r="C6"/>
      <c r="D6"/>
      <c r="E6" s="32"/>
      <c r="F6" s="32"/>
    </row>
    <row r="7" spans="1:13" ns3:dyDescent="0.2">
      <c r="A7"/>
      <c r="B7"/>
      <c r="C7"/>
      <c r="D7"/>
      <c r="E7" s="32"/>
      <c r="F7" s="32"/>
    </row>
    <row r="8" spans="1:13" ns3:dyDescent="0.2">
      <c r="A8"/>
      <c r="B8"/>
      <c r="C8"/>
      <c r="D8"/>
      <c r="E8" s="32"/>
      <c r="F8" s="32"/>
    </row>
    <row r="9" spans="1:13" ns3:dyDescent="0.2">
      <c r="A9"/>
      <c r="B9"/>
      <c r="C9"/>
      <c r="D9"/>
      <c r="E9" s="32"/>
      <c r="F9" s="32"/>
    </row>
    <row r="10" spans="1:13" ns3:dyDescent="0.2">
      <c r="A10"/>
      <c r="B10"/>
      <c r="C10"/>
      <c r="D10"/>
      <c r="E10" s="32"/>
      <c r="F10" s="32"/>
    </row>
    <row r="11" spans="1:13" ns3:dyDescent="0.2">
      <c r="A11"/>
      <c r="B11"/>
      <c r="C11"/>
      <c r="D11"/>
      <c r="E11" s="32"/>
      <c r="F11" s="32"/>
    </row>
    <row r="12" spans="1:13" ns3:dyDescent="0.2">
      <c r="A12"/>
      <c r="B12"/>
      <c r="C12"/>
      <c r="D12"/>
      <c r="E12" s="32"/>
      <c r="F12" s="32"/>
    </row>
    <row r="13" spans="1:13" ns3:dyDescent="0.2">
      <c r="A13"/>
      <c r="B13"/>
      <c r="C13"/>
      <c r="D13"/>
      <c r="E13" s="32"/>
      <c r="F13" s="32"/>
    </row>
    <row r="14" spans="1:13" ns3:dyDescent="0.2">
      <c r="A14"/>
      <c r="B14"/>
      <c r="C14"/>
      <c r="D14"/>
      <c r="E14" s="32"/>
      <c r="F14" s="32"/>
    </row>
    <row r="15" spans="1:13" ns3:dyDescent="0.2">
      <c r="A15"/>
      <c r="B15"/>
      <c r="C15"/>
      <c r="D15"/>
      <c r="E15" s="32"/>
      <c r="F15" s="32"/>
    </row>
    <row r="16" spans="1:13" ns3:dyDescent="0.2">
      <c r="A16"/>
      <c r="B16"/>
      <c r="C16"/>
      <c r="D16"/>
      <c r="E16" s="32"/>
      <c r="F16" s="32"/>
    </row>
    <row r="17" spans="1:6" ns3:dyDescent="0.2">
      <c r="A17"/>
      <c r="B17"/>
      <c r="C17"/>
      <c r="D17"/>
      <c r="E17" s="32"/>
      <c r="F17" s="32"/>
    </row>
    <row r="18" spans="1:6" ns3:dyDescent="0.2">
      <c r="A18"/>
      <c r="B18"/>
      <c r="C18"/>
      <c r="D18"/>
      <c r="E18" s="32"/>
      <c r="F18" s="32"/>
    </row>
    <row r="19" spans="1:6" ns3:dyDescent="0.2">
      <c r="A19"/>
      <c r="B19"/>
      <c r="C19"/>
      <c r="D19"/>
      <c r="E19" s="32"/>
      <c r="F19" s="32"/>
    </row>
    <row r="20" spans="1:6" ns3:dyDescent="0.2">
      <c r="A20"/>
      <c r="B20"/>
      <c r="C20"/>
      <c r="D20"/>
      <c r="E20" s="32"/>
      <c r="F20" s="32"/>
    </row>
    <row r="21" spans="1:6" ns3:dyDescent="0.2">
      <c r="A21"/>
      <c r="B21"/>
      <c r="C21"/>
      <c r="D21"/>
      <c r="E21" s="32"/>
      <c r="F21" s="32"/>
    </row>
    <row r="22" spans="1:6" ns3:dyDescent="0.2">
      <c r="A22"/>
      <c r="B22"/>
      <c r="C22"/>
      <c r="D22"/>
      <c r="E22" s="32"/>
      <c r="F22" s="32"/>
    </row>
    <row r="23" spans="1:6" ns3:dyDescent="0.2">
      <c r="A23"/>
      <c r="B23"/>
      <c r="C23"/>
      <c r="D23"/>
      <c r="E23" s="32"/>
      <c r="F23" s="32"/>
    </row>
  </sheetData>
  <pageMargins left="0.7" right="0.7" top="0.75" bottom="0.75" header="0.3" footer="0.3"/>
  <pageSetup orientation="portrait" horizontalDpi="0" verticalDpi="0"/>
  <drawing r:id="rId1"/>
  <legacyDrawing r:id="rId2"/>
  <ns1:AlternateContent>
    <ns1:Choice Requires="x14">
      <controls>
        <ns1:AlternateContent>
          <ns1:Choice Requires="x14">
            <control shapeId="16396" r:id="rId3" name="Button 12">
              <controlPr defaultSize="0" print="0" autoFill="0" autoPict="0" macro="[0]!CreateNewInvoice">
                <anchor moveWithCells="1" sizeWithCells="1">
                  <from>
                    <ns5:col>6</ns5:col>
                    <ns5:colOff>939800</ns5:colOff>
                    <ns5:row>4</ns5:row>
                    <ns5:rowOff>38100</ns5:rowOff>
                  </from>
                  <to>
                    <ns5:col>8</ns5:col>
                    <ns5:colOff>1384300</ns5:colOff>
                    <ns5:row>7</ns5:row>
                    <ns5:rowOff>25400</ns5:rowOff>
                  </to>
                </anchor>
              </controlPr>
            </control>
          </ns1:Choice>
        </ns1:AlternateContent>
      </controls>
    </ns1:Choice>
  </ns1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BDB33-4E86-2B40-B2DE-56B69D98322D}">
  <sheetPr codeName="Sheet3">
    <pageSetUpPr fitToPage="1"/>
  </sheetPr>
  <dimension ref="A1:M52"/>
  <sheetViews>
    <sheetView tabSelected="1" zoomScale="56" zoomScaleNormal="90" workbookViewId="0">
      <selection activeCell="I27" sqref="I27:J27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f>Transfer!G2</f>
        <v>46052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f>Transfer!H2</f>
        <v>30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tr">
        <f>Transfer!I2</f>
        <v>Song Hy Market</v>
      </c>
      <c r="D15" s="46"/>
      <c r="E15" s="4"/>
      <c r="F15" s="4"/>
      <c r="G15" s="46" t="str">
        <f>Transfer!I2</f>
        <v>Song Hy Market</v>
      </c>
      <c r="H15" s="46"/>
      <c r="I15" s="46"/>
      <c r="J15" s="46"/>
      <c r="K15" s="46"/>
    </row>
    <row r="16" spans="1:13" ht="22" customHeight="1" x14ac:dyDescent="0.2">
      <c r="C16" s="45">
        <f>Transfer!J2</f>
        <v>7148545588</v>
      </c>
      <c r="D16" s="45"/>
      <c r="E16" s="4"/>
      <c r="F16" s="4"/>
      <c r="G16" s="45">
        <f>Transfer!J2</f>
        <v>7148545588</v>
      </c>
      <c r="H16" s="45"/>
      <c r="I16" s="45"/>
      <c r="J16" s="45"/>
      <c r="K16" s="16"/>
    </row>
    <row r="17" spans="2:11" ht="22" customHeight="1" x14ac:dyDescent="0.2">
      <c r="C17" s="45" t="str">
        <f>Transfer!K2</f>
        <v>10932 Westminster Ave</v>
      </c>
      <c r="D17" s="45"/>
      <c r="E17" s="16"/>
      <c r="F17" s="4"/>
      <c r="G17" s="45" t="str">
        <f>Transfer!K2</f>
        <v>10932 Westminster Ave</v>
      </c>
      <c r="H17" s="45"/>
      <c r="I17" s="45"/>
      <c r="J17" s="45"/>
      <c r="K17" s="45"/>
    </row>
    <row r="18" spans="2:11" ht="22" customHeight="1" x14ac:dyDescent="0.2">
      <c r="C18" s="46" t="str">
        <f>_xlfn.CONCAT(Transfer!L2, ", ", Transfer!M2)</f>
        <v>Garden Grove, CA 92843</v>
      </c>
      <c r="D18" s="46"/>
      <c r="E18" s="4"/>
      <c r="F18" s="4"/>
      <c r="G18" s="45" t="str">
        <f>_xlfn.CONCAT(Transfer!L2, ", ", Transfer!M2)</f>
        <v>Garden Grove, CA 92843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f>IF(C21="","",MAX(B$20:$B20)+1)</f>
        <v>1</v>
      </c>
      <c r="C21" s="36" t="str" cm="1">
        <f t="array" ref="C21">IF(INDEX(Transfer!$B$2:$F$23,ROW()-20,1)&lt;&gt;0,INDEX(Transfer!$B$2:$F$23,ROW()-20,1),"")</f>
        <v>Khô Bò</v>
      </c>
      <c r="D21" s="36"/>
      <c r="E21" s="36" t="str" cm="1">
        <f t="array" ref="E21">IF(INDEX(Transfer!$B$2:$F$23,ROW()-20,1)&lt;&gt;0,INDEX(Transfer!$B$2:$F$23,ROW()-20,2),"")</f>
        <v>Pcs</v>
      </c>
      <c r="F21" s="36"/>
      <c r="G21" s="19" cm="1">
        <f t="array" ref="G21">IF(INDEX(Transfer!$B$2:$F$23,ROW()-20,1)&lt;&gt;0,INDEX(Transfer!$B$2:$F$23,ROW()-20,3),"")</f>
        <v>57</v>
      </c>
      <c r="H21" s="20" cm="1">
        <f t="array" ref="H21">IF(INDEX(Transfer!$B$2:$F$23,ROW()-20,1)&lt;&gt;0,INDEX(Transfer!$B$2:$F$23,ROW()-20,4),"")</f>
        <v>13</v>
      </c>
      <c r="I21" s="44">
        <f>IFERROR(H21*G21,"")</f>
        <v>741</v>
      </c>
      <c r="J21" s="44"/>
    </row>
    <row r="22" spans="2:11" ht="22" customHeight="1" x14ac:dyDescent="0.2">
      <c r="B22" s="25">
        <f>IF(C22="","",MAX(B$20:$B21)+1)</f>
        <v>2</v>
      </c>
      <c r="C22" s="36" t="str" cm="1">
        <f t="array" ref="C22">IF(INDEX(Transfer!$B$2:$F$23,ROW()-20,1)&lt;&gt;0,INDEX(Transfer!$B$2:$F$23,ROW()-20,1),"")</f>
        <v>Gà Sấy Lá Chanh</v>
      </c>
      <c r="D22" s="36"/>
      <c r="E22" s="36" t="str" cm="1">
        <f t="array" ref="E22">IF(INDEX(Transfer!$B$2:$F$23,ROW()-20,1)&lt;&gt;0,INDEX(Transfer!$B$2:$F$23,ROW()-20,2),"")</f>
        <v>Pcs</v>
      </c>
      <c r="F22" s="36"/>
      <c r="G22" s="19" cm="1">
        <f t="array" ref="G22">IF(INDEX(Transfer!$B$2:$F$23,ROW()-20,1)&lt;&gt;0,INDEX(Transfer!$B$2:$F$23,ROW()-20,3),"")</f>
        <v>12</v>
      </c>
      <c r="H22" s="20" cm="1">
        <f t="array" ref="H22">IF(INDEX(Transfer!$B$2:$F$23,ROW()-20,1)&lt;&gt;0,INDEX(Transfer!$B$2:$F$23,ROW()-20,4),"")</f>
        <v>9</v>
      </c>
      <c r="I22" s="37">
        <f t="shared" ref="I22:I41" si="0">IFERROR(H22*G22,"")</f>
        <v>108</v>
      </c>
      <c r="J22" s="38"/>
    </row>
    <row r="23" spans="2:11" ht="22" customHeight="1" x14ac:dyDescent="0.2">
      <c r="B23" s="25">
        <f>IF(C23="","",MAX(B$20:$B22)+1)</f>
        <v>3</v>
      </c>
      <c r="C23" s="36" t="str" cm="1">
        <f t="array" ref="C23">IF(INDEX(Transfer!$B$2:$F$23,ROW()-20,1)&lt;&gt;0,INDEX(Transfer!$B$2:$F$23,ROW()-20,1),"")</f>
        <v>Khoai Lang Sấy Mật Ong</v>
      </c>
      <c r="D23" s="36"/>
      <c r="E23" s="36" t="str" cm="1">
        <f t="array" ref="E23">IF(INDEX(Transfer!$B$2:$F$23,ROW()-20,1)&lt;&gt;0,INDEX(Transfer!$B$2:$F$23,ROW()-20,2),"")</f>
        <v>Pcs</v>
      </c>
      <c r="F23" s="36"/>
      <c r="G23" s="19" cm="1">
        <f t="array" ref="G23">IF(INDEX(Transfer!$B$2:$F$23,ROW()-20,1)&lt;&gt;0,INDEX(Transfer!$B$2:$F$23,ROW()-20,3),"")</f>
        <v>14</v>
      </c>
      <c r="H23" s="20" cm="1">
        <f t="array" ref="H23">IF(INDEX(Transfer!$B$2:$F$23,ROW()-20,1)&lt;&gt;0,INDEX(Transfer!$B$2:$F$23,ROW()-20,4),"")</f>
        <v>5</v>
      </c>
      <c r="I23" s="37">
        <f t="shared" si="0"/>
        <v>70</v>
      </c>
      <c r="J23" s="38"/>
    </row>
    <row r="24" spans="2:11" ht="22" customHeight="1" x14ac:dyDescent="0.2">
      <c r="B24" s="25">
        <f>IF(C24="","",MAX(B$20:$B23)+1)</f>
        <v>4</v>
      </c>
      <c r="C24" s="36" t="str" cm="1">
        <f t="array" ref="C24">IF(INDEX(Transfer!$B$2:$F$23,ROW()-20,1)&lt;&gt;0,INDEX(Transfer!$B$2:$F$23,ROW()-20,1),"")</f>
        <v>Ổi Hồng Sấy Muối Ớt</v>
      </c>
      <c r="D24" s="36"/>
      <c r="E24" s="36" t="str" cm="1">
        <f t="array" ref="E24">IF(INDEX(Transfer!$B$2:$F$23,ROW()-20,1)&lt;&gt;0,INDEX(Transfer!$B$2:$F$23,ROW()-20,2),"")</f>
        <v>Pcs</v>
      </c>
      <c r="F24" s="36"/>
      <c r="G24" s="19" cm="1">
        <f t="array" ref="G24">IF(INDEX(Transfer!$B$2:$F$23,ROW()-20,1)&lt;&gt;0,INDEX(Transfer!$B$2:$F$23,ROW()-20,3),"")</f>
        <v>3</v>
      </c>
      <c r="H24" s="20" cm="1">
        <f t="array" ref="H24">IF(INDEX(Transfer!$B$2:$F$23,ROW()-20,1)&lt;&gt;0,INDEX(Transfer!$B$2:$F$23,ROW()-20,4),"")</f>
        <v>5.5</v>
      </c>
      <c r="I24" s="37">
        <f t="shared" si="0"/>
        <v>16.5</v>
      </c>
      <c r="J24" s="38"/>
    </row>
    <row r="25" spans="2:11" ht="22" customHeight="1" x14ac:dyDescent="0.2">
      <c r="B25" s="25" t="str">
        <f>IF(C25="","",MAX(B$20:$B24)+1)</f>
        <v/>
      </c>
      <c r="C25" s="36" t="str" cm="1">
        <f t="array" ref="C25">IF(INDEX(Transfer!$B$2:$F$23,ROW()-20,1)&lt;&gt;0,INDEX(Transfer!$B$2:$F$23,ROW()-20,1),"")</f>
        <v/>
      </c>
      <c r="D25" s="36"/>
      <c r="E25" s="36" t="str" cm="1">
        <f t="array" ref="E25">IF(INDEX(Transfer!$B$2:$F$23,ROW()-20,1)&lt;&gt;0,INDEX(Transfer!$B$2:$F$23,ROW()-20,2),"")</f>
        <v/>
      </c>
      <c r="F25" s="36"/>
      <c r="G25" s="19" t="str" cm="1">
        <f t="array" ref="G25">IF(INDEX(Transfer!$B$2:$F$23,ROW()-20,1)&lt;&gt;0,INDEX(Transfer!$B$2:$F$23,ROW()-20,3),"")</f>
        <v/>
      </c>
      <c r="H25" s="20" t="str" cm="1">
        <f t="array" ref="H25">IF(INDEX(Transfer!$B$2:$F$23,ROW()-20,1)&lt;&gt;0,INDEX(Transfer!$B$2:$F$23,ROW()-20,4),"")</f>
        <v/>
      </c>
      <c r="I25" s="37" t="str">
        <f t="shared" si="0"/>
        <v/>
      </c>
      <c r="J25" s="38"/>
    </row>
    <row r="26" spans="2:11" ht="22" customHeight="1" x14ac:dyDescent="0.2">
      <c r="B26" s="25" t="str">
        <f>IF(C26="","",MAX(B$20:$B25)+1)</f>
        <v/>
      </c>
      <c r="C26" s="36" t="str" cm="1">
        <f t="array" ref="C26">IF(INDEX(Transfer!$B$2:$F$23,ROW()-20,1)&lt;&gt;0,INDEX(Transfer!$B$2:$F$23,ROW()-20,1),"")</f>
        <v/>
      </c>
      <c r="D26" s="36"/>
      <c r="E26" s="36" t="str" cm="1">
        <f t="array" ref="E26">IF(INDEX(Transfer!$B$2:$F$23,ROW()-20,1)&lt;&gt;0,INDEX(Transfer!$B$2:$F$23,ROW()-20,2),"")</f>
        <v/>
      </c>
      <c r="F26" s="36"/>
      <c r="G26" s="19" t="str" cm="1">
        <f t="array" ref="G26">IF(INDEX(Transfer!$B$2:$F$23,ROW()-20,1)&lt;&gt;0,INDEX(Transfer!$B$2:$F$23,ROW()-20,3),"")</f>
        <v/>
      </c>
      <c r="H26" s="20" t="str" cm="1">
        <f t="array" ref="H26">IF(INDEX(Transfer!$B$2:$F$23,ROW()-20,1)&lt;&gt;0,INDEX(Transfer!$B$2:$F$23,ROW()-20,4),"")</f>
        <v/>
      </c>
      <c r="I26" s="37" t="str">
        <f t="shared" si="0"/>
        <v/>
      </c>
      <c r="J26" s="38"/>
    </row>
    <row r="27" spans="2:11" ht="22" customHeight="1" x14ac:dyDescent="0.2">
      <c r="B27" s="25" t="str">
        <f>IF(C27="","",MAX(B$20:$B26)+1)</f>
        <v/>
      </c>
      <c r="C27" s="36" t="str" cm="1">
        <f t="array" ref="C27">IF(INDEX(Transfer!$B$2:$F$23,ROW()-20,1)&lt;&gt;0,INDEX(Transfer!$B$2:$F$23,ROW()-20,1),"")</f>
        <v/>
      </c>
      <c r="D27" s="36"/>
      <c r="E27" s="36" t="str" cm="1">
        <f t="array" ref="E27">IF(INDEX(Transfer!$B$2:$F$23,ROW()-20,1)&lt;&gt;0,INDEX(Transfer!$B$2:$F$23,ROW()-20,2),"")</f>
        <v/>
      </c>
      <c r="F27" s="36"/>
      <c r="G27" s="19" t="str" cm="1">
        <f t="array" ref="G27">IF(INDEX(Transfer!$B$2:$F$23,ROW()-20,1)&lt;&gt;0,INDEX(Transfer!$B$2:$F$23,ROW()-20,3),"")</f>
        <v/>
      </c>
      <c r="H27" s="20" t="str" cm="1">
        <f t="array" ref="H27">IF(INDEX(Transfer!$B$2:$F$23,ROW()-20,1)&lt;&gt;0,INDEX(Transfer!$B$2:$F$23,ROW()-20,4),"")</f>
        <v/>
      </c>
      <c r="I27" s="37" t="str">
        <f t="shared" si="0"/>
        <v/>
      </c>
      <c r="J27" s="38"/>
    </row>
    <row r="28" spans="2:11" ht="22" customHeight="1" x14ac:dyDescent="0.2">
      <c r="B28" s="25" t="str">
        <f>IF(C28="","",MAX(B$20:$B27)+1)</f>
        <v/>
      </c>
      <c r="C28" s="36" t="str" cm="1">
        <f t="array" ref="C28">IF(INDEX(Transfer!$B$2:$F$23,ROW()-20,1)&lt;&gt;0,INDEX(Transfer!$B$2:$F$23,ROW()-20,1),"")</f>
        <v/>
      </c>
      <c r="D28" s="36"/>
      <c r="E28" s="36" t="str" cm="1">
        <f t="array" ref="E28">IF(INDEX(Transfer!$B$2:$F$23,ROW()-20,1)&lt;&gt;0,INDEX(Transfer!$B$2:$F$23,ROW()-20,2),"")</f>
        <v/>
      </c>
      <c r="F28" s="36"/>
      <c r="G28" s="19" t="str" cm="1">
        <f t="array" ref="G28">IF(INDEX(Transfer!$B$2:$F$23,ROW()-20,1)&lt;&gt;0,INDEX(Transfer!$B$2:$F$23,ROW()-20,3),"")</f>
        <v/>
      </c>
      <c r="H28" s="20" t="str" cm="1">
        <f t="array" ref="H28">IF(INDEX(Transfer!$B$2:$F$23,ROW()-20,1)&lt;&gt;0,INDEX(Transfer!$B$2:$F$23,ROW()-20,4),"")</f>
        <v/>
      </c>
      <c r="I28" s="37" t="str">
        <f t="shared" si="0"/>
        <v/>
      </c>
      <c r="J28" s="38"/>
    </row>
    <row r="29" spans="2:11" ht="22" customHeight="1" x14ac:dyDescent="0.2">
      <c r="B29" s="25" t="str">
        <f>IF(C29="","",MAX(B$20:$B28)+1)</f>
        <v/>
      </c>
      <c r="C29" s="36" t="str" cm="1">
        <f t="array" ref="C29">IF(INDEX(Transfer!$B$2:$F$23,ROW()-20,1)&lt;&gt;0,INDEX(Transfer!$B$2:$F$23,ROW()-20,1),"")</f>
        <v/>
      </c>
      <c r="D29" s="36"/>
      <c r="E29" s="36" t="str" cm="1">
        <f t="array" ref="E29">IF(INDEX(Transfer!$B$2:$F$23,ROW()-20,1)&lt;&gt;0,INDEX(Transfer!$B$2:$F$23,ROW()-20,2),"")</f>
        <v/>
      </c>
      <c r="F29" s="36"/>
      <c r="G29" s="19" t="str" cm="1">
        <f t="array" ref="G29">IF(INDEX(Transfer!$B$2:$F$23,ROW()-20,1)&lt;&gt;0,INDEX(Transfer!$B$2:$F$23,ROW()-20,3),"")</f>
        <v/>
      </c>
      <c r="H29" s="20" t="str" cm="1">
        <f t="array" ref="H29">IF(INDEX(Transfer!$B$2:$F$23,ROW()-20,1)&lt;&gt;0,INDEX(Transfer!$B$2:$F$23,ROW()-20,4),"")</f>
        <v/>
      </c>
      <c r="I29" s="37" t="str">
        <f t="shared" si="0"/>
        <v/>
      </c>
      <c r="J29" s="38"/>
    </row>
    <row r="30" spans="2:11" ht="22" customHeight="1" x14ac:dyDescent="0.2">
      <c r="B30" s="25" t="str">
        <f>IF(C30="","",MAX(B$20:$B29)+1)</f>
        <v/>
      </c>
      <c r="C30" s="36" t="str" cm="1">
        <f t="array" ref="C30">IF(INDEX(Transfer!$B$2:$F$23,ROW()-20,1)&lt;&gt;0,INDEX(Transfer!$B$2:$F$23,ROW()-20,1),"")</f>
        <v/>
      </c>
      <c r="D30" s="36"/>
      <c r="E30" s="36" t="str" cm="1">
        <f t="array" ref="E30">IF(INDEX(Transfer!$B$2:$F$23,ROW()-20,1)&lt;&gt;0,INDEX(Transfer!$B$2:$F$23,ROW()-20,2),"")</f>
        <v/>
      </c>
      <c r="F30" s="36"/>
      <c r="G30" s="19" t="str" cm="1">
        <f t="array" ref="G30">IF(INDEX(Transfer!$B$2:$F$23,ROW()-20,1)&lt;&gt;0,INDEX(Transfer!$B$2:$F$23,ROW()-20,3),"")</f>
        <v/>
      </c>
      <c r="H30" s="20" t="str" cm="1">
        <f t="array" ref="H30">IF(INDEX(Transfer!$B$2:$F$23,ROW()-20,1)&lt;&gt;0,INDEX(Transfer!$B$2:$F$23,ROW()-20,4),"")</f>
        <v/>
      </c>
      <c r="I30" s="37" t="str">
        <f t="shared" si="0"/>
        <v/>
      </c>
      <c r="J30" s="38"/>
    </row>
    <row r="31" spans="2:11" ht="22" customHeight="1" x14ac:dyDescent="0.2">
      <c r="B31" s="25" t="str">
        <f>IF(C31="","",MAX(B$20:$B30)+1)</f>
        <v/>
      </c>
      <c r="C31" s="36" t="str" cm="1">
        <f t="array" ref="C31">IF(INDEX(Transfer!$B$2:$F$23,ROW()-20,1)&lt;&gt;0,INDEX(Transfer!$B$2:$F$23,ROW()-20,1),"")</f>
        <v/>
      </c>
      <c r="D31" s="36"/>
      <c r="E31" s="36" t="str" cm="1">
        <f t="array" ref="E31">IF(INDEX(Transfer!$B$2:$F$23,ROW()-20,1)&lt;&gt;0,INDEX(Transfer!$B$2:$F$23,ROW()-20,2),"")</f>
        <v/>
      </c>
      <c r="F31" s="36"/>
      <c r="G31" s="19" t="str" cm="1">
        <f t="array" ref="G31">IF(INDEX(Transfer!$B$2:$F$23,ROW()-20,1)&lt;&gt;0,INDEX(Transfer!$B$2:$F$23,ROW()-20,3),"")</f>
        <v/>
      </c>
      <c r="H31" s="20" t="str" cm="1">
        <f t="array" ref="H31">IF(INDEX(Transfer!$B$2:$F$23,ROW()-20,1)&lt;&gt;0,INDEX(Transfer!$B$2:$F$23,ROW()-20,4),"")</f>
        <v/>
      </c>
      <c r="I31" s="37" t="str">
        <f t="shared" si="0"/>
        <v/>
      </c>
      <c r="J31" s="38"/>
    </row>
    <row r="32" spans="2:11" ht="22" customHeight="1" x14ac:dyDescent="0.2">
      <c r="B32" s="25" t="str">
        <f>IF(C32="","",MAX(B$20:$B31)+1)</f>
        <v/>
      </c>
      <c r="C32" s="36" t="str" cm="1">
        <f t="array" ref="C32">IF(INDEX(Transfer!$B$2:$F$23,ROW()-20,1)&lt;&gt;0,INDEX(Transfer!$B$2:$F$23,ROW()-20,1),"")</f>
        <v/>
      </c>
      <c r="D32" s="36"/>
      <c r="E32" s="36" t="str" cm="1">
        <f t="array" ref="E32">IF(INDEX(Transfer!$B$2:$F$23,ROW()-20,1)&lt;&gt;0,INDEX(Transfer!$B$2:$F$23,ROW()-20,2),"")</f>
        <v/>
      </c>
      <c r="F32" s="36"/>
      <c r="G32" s="19" t="str" cm="1">
        <f t="array" ref="G32">IF(INDEX(Transfer!$B$2:$F$23,ROW()-20,1)&lt;&gt;0,INDEX(Transfer!$B$2:$F$23,ROW()-20,3),"")</f>
        <v/>
      </c>
      <c r="H32" s="20" t="str" cm="1">
        <f t="array" ref="H32">IF(INDEX(Transfer!$B$2:$F$23,ROW()-20,1)&lt;&gt;0,INDEX(Transfer!$B$2:$F$23,ROW()-20,4),"")</f>
        <v/>
      </c>
      <c r="I32" s="37" t="str">
        <f t="shared" si="0"/>
        <v/>
      </c>
      <c r="J32" s="38"/>
    </row>
    <row r="33" spans="2:10" ht="22" customHeight="1" x14ac:dyDescent="0.2">
      <c r="B33" s="25" t="str">
        <f>IF(C33="","",MAX(B$20:$B32)+1)</f>
        <v/>
      </c>
      <c r="C33" s="36" t="str" cm="1">
        <f t="array" ref="C33">IF(INDEX(Transfer!$B$2:$F$23,ROW()-20,1)&lt;&gt;0,INDEX(Transfer!$B$2:$F$23,ROW()-20,1),"")</f>
        <v/>
      </c>
      <c r="D33" s="36"/>
      <c r="E33" s="36" t="str" cm="1">
        <f t="array" ref="E33">IF(INDEX(Transfer!$B$2:$F$23,ROW()-20,1)&lt;&gt;0,INDEX(Transfer!$B$2:$F$23,ROW()-20,2),"")</f>
        <v/>
      </c>
      <c r="F33" s="36"/>
      <c r="G33" s="19" t="str" cm="1">
        <f t="array" ref="G33">IF(INDEX(Transfer!$B$2:$F$23,ROW()-20,1)&lt;&gt;0,INDEX(Transfer!$B$2:$F$23,ROW()-20,3),"")</f>
        <v/>
      </c>
      <c r="H33" s="20" t="str" cm="1">
        <f t="array" ref="H33">IF(INDEX(Transfer!$B$2:$F$23,ROW()-20,1)&lt;&gt;0,INDEX(Transfer!$B$2:$F$23,ROW()-20,4),"")</f>
        <v/>
      </c>
      <c r="I33" s="37" t="str">
        <f t="shared" si="0"/>
        <v/>
      </c>
      <c r="J33" s="38"/>
    </row>
    <row r="34" spans="2:10" ht="22" customHeight="1" x14ac:dyDescent="0.2">
      <c r="B34" s="25" t="str">
        <f>IF(C34="","",MAX(B$20:$B33)+1)</f>
        <v/>
      </c>
      <c r="C34" s="36" t="str" cm="1">
        <f t="array" ref="C34">IF(INDEX(Transfer!$B$2:$F$23,ROW()-20,1)&lt;&gt;0,INDEX(Transfer!$B$2:$F$23,ROW()-20,1),"")</f>
        <v/>
      </c>
      <c r="D34" s="36"/>
      <c r="E34" s="36" t="str" cm="1">
        <f t="array" ref="E34">IF(INDEX(Transfer!$B$2:$F$23,ROW()-20,1)&lt;&gt;0,INDEX(Transfer!$B$2:$F$23,ROW()-20,2),"")</f>
        <v/>
      </c>
      <c r="F34" s="36"/>
      <c r="G34" s="19" t="str" cm="1">
        <f t="array" ref="G34">IF(INDEX(Transfer!$B$2:$F$23,ROW()-20,1)&lt;&gt;0,INDEX(Transfer!$B$2:$F$23,ROW()-20,3),"")</f>
        <v/>
      </c>
      <c r="H34" s="20" t="str" cm="1">
        <f t="array" ref="H34">IF(INDEX(Transfer!$B$2:$F$23,ROW()-20,1)&lt;&gt;0,INDEX(Transfer!$B$2:$F$23,ROW()-20,4),"")</f>
        <v/>
      </c>
      <c r="I34" s="37" t="str">
        <f t="shared" si="0"/>
        <v/>
      </c>
      <c r="J34" s="38"/>
    </row>
    <row r="35" spans="2:10" ht="22" customHeight="1" x14ac:dyDescent="0.2">
      <c r="B35" s="25" t="str">
        <f>IF(C35="","",MAX(B$20:$B34)+1)</f>
        <v/>
      </c>
      <c r="C35" s="36" t="str" cm="1">
        <f t="array" ref="C35">IF(INDEX(Transfer!$B$2:$F$23,ROW()-20,1)&lt;&gt;0,INDEX(Transfer!$B$2:$F$23,ROW()-20,1),"")</f>
        <v/>
      </c>
      <c r="D35" s="36"/>
      <c r="E35" s="36" t="str" cm="1">
        <f t="array" ref="E35">IF(INDEX(Transfer!$B$2:$F$23,ROW()-20,1)&lt;&gt;0,INDEX(Transfer!$B$2:$F$23,ROW()-20,2),"")</f>
        <v/>
      </c>
      <c r="F35" s="36"/>
      <c r="G35" s="19" t="str" cm="1">
        <f t="array" ref="G35">IF(INDEX(Transfer!$B$2:$F$23,ROW()-20,1)&lt;&gt;0,INDEX(Transfer!$B$2:$F$23,ROW()-20,3),"")</f>
        <v/>
      </c>
      <c r="H35" s="20" t="str" cm="1">
        <f t="array" ref="H35">IF(INDEX(Transfer!$B$2:$F$23,ROW()-20,1)&lt;&gt;0,INDEX(Transfer!$B$2:$F$23,ROW()-20,4),"")</f>
        <v/>
      </c>
      <c r="I35" s="37" t="str">
        <f t="shared" si="0"/>
        <v/>
      </c>
      <c r="J35" s="38"/>
    </row>
    <row r="36" spans="2:10" ht="22" customHeight="1" x14ac:dyDescent="0.2">
      <c r="B36" s="25" t="str">
        <f>IF(C36="","",MAX(B$20:$B35)+1)</f>
        <v/>
      </c>
      <c r="C36" s="36" t="str" cm="1">
        <f t="array" ref="C36">IF(INDEX(Transfer!$B$2:$F$23,ROW()-20,1)&lt;&gt;0,INDEX(Transfer!$B$2:$F$23,ROW()-20,1),"")</f>
        <v/>
      </c>
      <c r="D36" s="36"/>
      <c r="E36" s="36" t="str" cm="1">
        <f t="array" ref="E36">IF(INDEX(Transfer!$B$2:$F$23,ROW()-20,1)&lt;&gt;0,INDEX(Transfer!$B$2:$F$23,ROW()-20,2),"")</f>
        <v/>
      </c>
      <c r="F36" s="36"/>
      <c r="G36" s="19" t="str" cm="1">
        <f t="array" ref="G36">IF(INDEX(Transfer!$B$2:$F$23,ROW()-20,1)&lt;&gt;0,INDEX(Transfer!$B$2:$F$23,ROW()-20,3),"")</f>
        <v/>
      </c>
      <c r="H36" s="20" t="str" cm="1">
        <f t="array" ref="H36">IF(INDEX(Transfer!$B$2:$F$23,ROW()-20,1)&lt;&gt;0,INDEX(Transfer!$B$2:$F$23,ROW()-20,4),"")</f>
        <v/>
      </c>
      <c r="I36" s="37" t="str">
        <f t="shared" si="0"/>
        <v/>
      </c>
      <c r="J36" s="38"/>
    </row>
    <row r="37" spans="2:10" ht="22" customHeight="1" x14ac:dyDescent="0.2">
      <c r="B37" s="25" t="str">
        <f>IF(C37="","",MAX(B$20:$B36)+1)</f>
        <v/>
      </c>
      <c r="C37" s="36" t="str" cm="1">
        <f t="array" ref="C37">IF(INDEX(Transfer!$B$2:$F$23,ROW()-20,1)&lt;&gt;0,INDEX(Transfer!$B$2:$F$23,ROW()-20,1),"")</f>
        <v/>
      </c>
      <c r="D37" s="36"/>
      <c r="E37" s="36" t="str" cm="1">
        <f t="array" ref="E37">IF(INDEX(Transfer!$B$2:$F$23,ROW()-20,1)&lt;&gt;0,INDEX(Transfer!$B$2:$F$23,ROW()-20,2),"")</f>
        <v/>
      </c>
      <c r="F37" s="36"/>
      <c r="G37" s="19" t="str" cm="1">
        <f t="array" ref="G37">IF(INDEX(Transfer!$B$2:$F$23,ROW()-20,1)&lt;&gt;0,INDEX(Transfer!$B$2:$F$23,ROW()-20,3),"")</f>
        <v/>
      </c>
      <c r="H37" s="20" t="str" cm="1">
        <f t="array" ref="H37">IF(INDEX(Transfer!$B$2:$F$23,ROW()-20,1)&lt;&gt;0,INDEX(Transfer!$B$2:$F$23,ROW()-20,4),"")</f>
        <v/>
      </c>
      <c r="I37" s="37" t="str">
        <f t="shared" si="0"/>
        <v/>
      </c>
      <c r="J37" s="38"/>
    </row>
    <row r="38" spans="2:10" ht="22" customHeight="1" x14ac:dyDescent="0.2">
      <c r="B38" s="25" t="str">
        <f>IF(C38="","",MAX(B$20:$B37)+1)</f>
        <v/>
      </c>
      <c r="C38" s="36" t="str" cm="1">
        <f t="array" ref="C38">IF(INDEX(Transfer!$B$2:$F$23,ROW()-20,1)&lt;&gt;0,INDEX(Transfer!$B$2:$F$23,ROW()-20,1),"")</f>
        <v/>
      </c>
      <c r="D38" s="36"/>
      <c r="E38" s="36" t="str" cm="1">
        <f t="array" ref="E38">IF(INDEX(Transfer!$B$2:$F$23,ROW()-20,1)&lt;&gt;0,INDEX(Transfer!$B$2:$F$23,ROW()-20,2),"")</f>
        <v/>
      </c>
      <c r="F38" s="36"/>
      <c r="G38" s="19" t="str" cm="1">
        <f t="array" ref="G38">IF(INDEX(Transfer!$B$2:$F$23,ROW()-20,1)&lt;&gt;0,INDEX(Transfer!$B$2:$F$23,ROW()-20,3),"")</f>
        <v/>
      </c>
      <c r="H38" s="20" t="str" cm="1">
        <f t="array" ref="H38">IF(INDEX(Transfer!$B$2:$F$23,ROW()-20,1)&lt;&gt;0,INDEX(Transfer!$B$2:$F$23,ROW()-20,4),"")</f>
        <v/>
      </c>
      <c r="I38" s="37" t="str">
        <f t="shared" si="0"/>
        <v/>
      </c>
      <c r="J38" s="38"/>
    </row>
    <row r="39" spans="2:10" ht="22" customHeight="1" x14ac:dyDescent="0.2">
      <c r="B39" s="25" t="str">
        <f>IF(C39="","",MAX(B$20:$B38)+1)</f>
        <v/>
      </c>
      <c r="C39" s="36" t="str" cm="1">
        <f t="array" ref="C39">IF(INDEX(Transfer!$B$2:$F$23,ROW()-20,1)&lt;&gt;0,INDEX(Transfer!$B$2:$F$23,ROW()-20,1),"")</f>
        <v/>
      </c>
      <c r="D39" s="36"/>
      <c r="E39" s="36" t="str" cm="1">
        <f t="array" ref="E39">IF(INDEX(Transfer!$B$2:$F$23,ROW()-20,1)&lt;&gt;0,INDEX(Transfer!$B$2:$F$23,ROW()-20,2),"")</f>
        <v/>
      </c>
      <c r="F39" s="36"/>
      <c r="G39" s="19" t="str" cm="1">
        <f t="array" ref="G39">IF(INDEX(Transfer!$B$2:$F$23,ROW()-20,1)&lt;&gt;0,INDEX(Transfer!$B$2:$F$23,ROW()-20,3),"")</f>
        <v/>
      </c>
      <c r="H39" s="20" t="str" cm="1">
        <f t="array" ref="H39">IF(INDEX(Transfer!$B$2:$F$23,ROW()-20,1)&lt;&gt;0,INDEX(Transfer!$B$2:$F$23,ROW()-20,4),"")</f>
        <v/>
      </c>
      <c r="I39" s="37" t="str">
        <f t="shared" si="0"/>
        <v/>
      </c>
      <c r="J39" s="38"/>
    </row>
    <row r="40" spans="2:10" ht="22" customHeight="1" x14ac:dyDescent="0.2">
      <c r="B40" s="25" t="str">
        <f>IF(C40="","",MAX(B$20:$B39)+1)</f>
        <v/>
      </c>
      <c r="C40" s="36" t="str" cm="1">
        <f t="array" ref="C40">IF(INDEX(Transfer!$B$2:$F$23,ROW()-20,1)&lt;&gt;0,INDEX(Transfer!$B$2:$F$23,ROW()-20,1),"")</f>
        <v/>
      </c>
      <c r="D40" s="36"/>
      <c r="E40" s="36" t="str" cm="1">
        <f t="array" ref="E40">IF(INDEX(Transfer!$B$2:$F$23,ROW()-20,1)&lt;&gt;0,INDEX(Transfer!$B$2:$F$23,ROW()-20,2),"")</f>
        <v/>
      </c>
      <c r="F40" s="36"/>
      <c r="G40" s="19" t="str" cm="1">
        <f t="array" ref="G40">IF(INDEX(Transfer!$B$2:$F$23,ROW()-20,1)&lt;&gt;0,INDEX(Transfer!$B$2:$F$23,ROW()-20,3),"")</f>
        <v/>
      </c>
      <c r="H40" s="20" t="str" cm="1">
        <f t="array" ref="H40">IF(INDEX(Transfer!$B$2:$F$23,ROW()-20,1)&lt;&gt;0,INDEX(Transfer!$B$2:$F$23,ROW()-20,4),"")</f>
        <v/>
      </c>
      <c r="I40" s="37" t="str">
        <f t="shared" si="0"/>
        <v/>
      </c>
      <c r="J40" s="38"/>
    </row>
    <row r="41" spans="2:10" ht="22" customHeight="1" x14ac:dyDescent="0.2">
      <c r="B41" s="25" t="str">
        <f>IF(C41="","",MAX(B$20:$B40)+1)</f>
        <v/>
      </c>
      <c r="C41" s="36" t="str" cm="1">
        <f t="array" ref="C41">IF(INDEX(Transfer!$B$2:$F$23,ROW()-20,1)&lt;&gt;0,INDEX(Transfer!$B$2:$F$23,ROW()-20,1),"")</f>
        <v/>
      </c>
      <c r="D41" s="36"/>
      <c r="E41" s="36" t="str" cm="1">
        <f t="array" ref="E41">IF(INDEX(Transfer!$B$2:$F$23,ROW()-20,1)&lt;&gt;0,INDEX(Transfer!$B$2:$F$23,ROW()-20,2),"")</f>
        <v/>
      </c>
      <c r="F41" s="36"/>
      <c r="G41" s="19" t="str" cm="1">
        <f t="array" ref="G41">IF(INDEX(Transfer!$B$2:$F$23,ROW()-20,1)&lt;&gt;0,INDEX(Transfer!$B$2:$F$23,ROW()-20,3),"")</f>
        <v/>
      </c>
      <c r="H41" s="20" t="str" cm="1">
        <f t="array" ref="H41">IF(INDEX(Transfer!$B$2:$F$23,ROW()-20,1)&lt;&gt;0,INDEX(Transfer!$B$2:$F$23,ROW()-20,4),"")</f>
        <v/>
      </c>
      <c r="I41" s="37" t="str">
        <f t="shared" si="0"/>
        <v/>
      </c>
      <c r="J41" s="38"/>
    </row>
    <row r="42" spans="2:10" ht="22" customHeight="1" x14ac:dyDescent="0.2">
      <c r="B42" s="25" t="str">
        <f>IF(C42="","",MAX(B$20:$B41)+1)</f>
        <v/>
      </c>
      <c r="C42" s="36" t="str" cm="1">
        <f t="array" ref="C42">IF(INDEX(Transfer!$B$2:$F$23,ROW()-20,1)&lt;&gt;0,INDEX(Transfer!$B$2:$F$23,ROW()-20,1),"")</f>
        <v/>
      </c>
      <c r="D42" s="36"/>
      <c r="E42" s="36" t="str" cm="1">
        <f t="array" ref="E42">IF(INDEX(Transfer!$B$2:$F$23,ROW()-20,1)&lt;&gt;0,INDEX(Transfer!$B$2:$F$23,ROW()-20,2),"")</f>
        <v/>
      </c>
      <c r="F42" s="36"/>
      <c r="G42" s="19" t="str" cm="1">
        <f t="array" ref="G42">IF(INDEX(Transfer!$B$2:$F$23,ROW()-20,1)&lt;&gt;0,INDEX(Transfer!$B$2:$F$23,ROW()-20,3),"")</f>
        <v/>
      </c>
      <c r="H42" s="20" t="str" cm="1">
        <f t="array" ref="H42">IF(INDEX(Transfer!$B$2:$F$23,ROW()-20,1)&lt;&gt;0,INDEX(Transfer!$B$2:$F$23,ROW()-20,4),"")</f>
        <v/>
      </c>
      <c r="I42" s="37" t="str">
        <f>IFERROR(H42*G42,"")</f>
        <v/>
      </c>
      <c r="J42" s="38"/>
    </row>
    <row r="43" spans="2:10" ht="22" customHeight="1" x14ac:dyDescent="0.2">
      <c r="H43" s="11" t="s">
        <v>10</v>
      </c>
      <c r="I43" s="40">
        <f>SUM(I21:J42)</f>
        <v>935.5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f>I43-I44</f>
        <v>935.5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f>I45*I46</f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f>I45+I47+I48</f>
        <v>935.5</v>
      </c>
      <c r="J49" s="39"/>
    </row>
    <row r="51" spans="1:11" ht="82" customHeight="1" x14ac:dyDescent="0.2">
      <c r="C51" s="35" t="s">
        <v>137</v>
      </c>
      <c r="D51" s="35"/>
    </row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3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G16:H16"/>
    <mergeCell ref="I16:J16"/>
    <mergeCell ref="C22:D22"/>
    <mergeCell ref="E22:F22"/>
    <mergeCell ref="I22:J22"/>
    <mergeCell ref="C34:D34"/>
    <mergeCell ref="E34:F34"/>
    <mergeCell ref="I34:J34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3:D33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C42:D42"/>
    <mergeCell ref="E42:F42"/>
    <mergeCell ref="I42:J42"/>
    <mergeCell ref="I44:J44"/>
    <mergeCell ref="I45:J45"/>
    <mergeCell ref="I46:J46"/>
    <mergeCell ref="I47:J47"/>
    <mergeCell ref="I48:J48"/>
    <mergeCell ref="I23:J23"/>
    <mergeCell ref="I24:J24"/>
    <mergeCell ref="I25:J25"/>
    <mergeCell ref="I26:J26"/>
    <mergeCell ref="E28:F28"/>
    <mergeCell ref="E23:F23"/>
    <mergeCell ref="E24:F24"/>
    <mergeCell ref="E25:F25"/>
    <mergeCell ref="E26:F26"/>
    <mergeCell ref="E27:F27"/>
    <mergeCell ref="C51:D51"/>
    <mergeCell ref="C32:D32"/>
    <mergeCell ref="I32:J32"/>
    <mergeCell ref="I33:J33"/>
    <mergeCell ref="I27:J27"/>
    <mergeCell ref="I28:J28"/>
    <mergeCell ref="I29:J29"/>
    <mergeCell ref="I30:J30"/>
    <mergeCell ref="I31:J31"/>
    <mergeCell ref="E33:F33"/>
    <mergeCell ref="E30:F30"/>
    <mergeCell ref="E29:F29"/>
    <mergeCell ref="E31:F31"/>
    <mergeCell ref="E32:F32"/>
    <mergeCell ref="I49:J49"/>
    <mergeCell ref="I43:J43"/>
  </mergeCells>
  <pageMargins left="0.45" right="0.45" top="0.5" bottom="0.5" header="0.3" footer="0.3"/>
  <pageSetup scale="61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EB443-60E0-4745-87CA-A7995057241B}">
  <sheetPr codeName="Sheet1">
    <pageSetUpPr fitToPage="1"/>
  </sheetPr>
  <dimension ref="A1:K40"/>
  <sheetViews>
    <sheetView zoomScale="90" zoomScaleNormal="90" workbookViewId="0">
      <selection activeCell="B20" sqref="B20:D20"/>
    </sheetView>
  </sheetViews>
  <sheetFormatPr baseColWidth="10" defaultRowHeight="16" x14ac:dyDescent="0.2"/>
  <cols>
    <col min="1" max="1" width="4.1640625" customWidth="1"/>
    <col min="2" max="2" width="21.83203125" customWidth="1"/>
    <col min="3" max="3" width="39.6640625" customWidth="1"/>
    <col min="4" max="4" width="6.33203125" customWidth="1"/>
    <col min="5" max="5" width="18.33203125" customWidth="1"/>
    <col min="6" max="6" width="24.83203125" customWidth="1"/>
    <col min="7" max="7" width="14" bestFit="1" customWidth="1"/>
    <col min="9" max="9" width="4.6640625" customWidth="1"/>
    <col min="10" max="10" width="12.5" customWidth="1"/>
    <col min="11" max="11" width="31.33203125" customWidth="1"/>
  </cols>
  <sheetData>
    <row r="1" spans="1:11" x14ac:dyDescent="0.2">
      <c r="A1" s="1"/>
      <c r="B1" s="1"/>
      <c r="C1" s="1"/>
      <c r="D1" s="1"/>
      <c r="E1" s="1"/>
      <c r="F1" s="1"/>
      <c r="G1" s="1"/>
      <c r="H1" s="1"/>
      <c r="I1" s="1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</row>
    <row r="3" spans="1:11" ht="76" customHeight="1" x14ac:dyDescent="0.2">
      <c r="A3" s="6"/>
      <c r="B3" s="6" t="e" vm="1">
        <v>#VALUE!</v>
      </c>
      <c r="C3" s="7" t="s">
        <v>7</v>
      </c>
      <c r="D3" s="7"/>
      <c r="E3" s="6"/>
      <c r="F3" s="49" t="s">
        <v>0</v>
      </c>
      <c r="G3" s="49"/>
      <c r="H3" s="49"/>
      <c r="I3" s="6"/>
    </row>
    <row r="4" spans="1:11" ht="16" customHeight="1" x14ac:dyDescent="0.35">
      <c r="A4" s="6"/>
      <c r="B4" s="6"/>
      <c r="C4" s="6"/>
      <c r="D4" s="6"/>
      <c r="E4" s="6"/>
      <c r="F4" s="49"/>
      <c r="G4" s="49"/>
      <c r="H4" s="49"/>
      <c r="I4" s="6"/>
      <c r="K4" s="3"/>
    </row>
    <row r="5" spans="1:11" ht="18" customHeight="1" x14ac:dyDescent="0.35">
      <c r="A5" s="6"/>
      <c r="B5" s="6"/>
      <c r="C5" s="6"/>
      <c r="D5" s="6"/>
      <c r="E5" s="6"/>
      <c r="F5" s="6"/>
      <c r="G5" s="6"/>
      <c r="H5" s="6"/>
      <c r="I5" s="6"/>
      <c r="J5" s="3"/>
      <c r="K5" s="3"/>
    </row>
    <row r="6" spans="1:11" ht="32" customHeight="1" x14ac:dyDescent="0.35">
      <c r="A6" s="6"/>
      <c r="B6" s="6"/>
      <c r="C6" s="6"/>
      <c r="D6" s="6"/>
      <c r="E6" s="6"/>
      <c r="F6" s="6" t="s">
        <v>1</v>
      </c>
      <c r="G6" s="50">
        <v>45824</v>
      </c>
      <c r="H6" s="50"/>
      <c r="I6" s="6"/>
      <c r="J6" s="3"/>
      <c r="K6" s="3"/>
    </row>
    <row r="7" spans="1:11" x14ac:dyDescent="0.2">
      <c r="A7" s="6"/>
      <c r="B7" s="6"/>
      <c r="C7" s="6"/>
      <c r="D7" s="6"/>
      <c r="E7" s="6"/>
      <c r="F7" s="6"/>
      <c r="G7" s="6"/>
      <c r="H7" s="6"/>
      <c r="I7" s="6"/>
    </row>
    <row r="8" spans="1:11" x14ac:dyDescent="0.2">
      <c r="A8" s="6"/>
      <c r="B8" s="6"/>
      <c r="C8" s="6"/>
      <c r="D8" s="6"/>
      <c r="E8" s="6"/>
      <c r="F8" s="6" t="s">
        <v>2</v>
      </c>
      <c r="G8" s="61" t="s">
        <v>97</v>
      </c>
      <c r="H8" s="61"/>
      <c r="I8" s="6"/>
    </row>
    <row r="9" spans="1:11" x14ac:dyDescent="0.2">
      <c r="A9" s="6"/>
      <c r="B9" s="6"/>
      <c r="C9" s="6"/>
      <c r="D9" s="6"/>
      <c r="E9" s="6"/>
      <c r="F9" s="6"/>
      <c r="G9" s="6"/>
      <c r="H9" s="6"/>
      <c r="I9" s="6"/>
    </row>
    <row r="10" spans="1:11" x14ac:dyDescent="0.2">
      <c r="A10" s="6"/>
      <c r="B10" s="6"/>
      <c r="C10" s="6"/>
      <c r="D10" s="6"/>
      <c r="E10" s="6"/>
      <c r="F10" s="6"/>
      <c r="G10" s="6"/>
      <c r="H10" s="6"/>
      <c r="I10" s="6"/>
    </row>
    <row r="12" spans="1:11" ht="22" customHeight="1" x14ac:dyDescent="0.2"/>
    <row r="13" spans="1:11" ht="22" customHeight="1" x14ac:dyDescent="0.2">
      <c r="B13" s="52" t="s">
        <v>3</v>
      </c>
      <c r="C13" s="52"/>
      <c r="D13" s="5"/>
      <c r="E13" s="52" t="s">
        <v>4</v>
      </c>
      <c r="F13" s="52"/>
      <c r="G13" s="52"/>
      <c r="H13" s="52"/>
      <c r="I13" s="8"/>
    </row>
    <row r="14" spans="1:11" ht="22" customHeight="1" x14ac:dyDescent="0.2">
      <c r="B14" s="46" t="s">
        <v>17</v>
      </c>
      <c r="C14" s="46"/>
      <c r="D14" s="4"/>
      <c r="E14" s="46" t="s">
        <v>17</v>
      </c>
      <c r="F14" s="46"/>
      <c r="G14" s="46"/>
      <c r="H14" s="46"/>
      <c r="I14" s="46"/>
    </row>
    <row r="15" spans="1:11" ht="22" customHeight="1" x14ac:dyDescent="0.2">
      <c r="B15" s="46" t="s">
        <v>18</v>
      </c>
      <c r="C15" s="46"/>
      <c r="D15" s="4"/>
      <c r="E15" s="46" t="s">
        <v>18</v>
      </c>
      <c r="F15" s="46"/>
      <c r="G15" s="46"/>
      <c r="H15" s="46"/>
      <c r="I15" s="46"/>
    </row>
    <row r="16" spans="1:11" ht="22" customHeight="1" x14ac:dyDescent="0.2">
      <c r="B16" s="45">
        <v>7148545588</v>
      </c>
      <c r="C16" s="45"/>
      <c r="D16" s="4"/>
      <c r="E16" s="45">
        <v>7148545588</v>
      </c>
      <c r="F16" s="45"/>
      <c r="G16" s="45"/>
      <c r="H16" s="45"/>
      <c r="I16" s="45"/>
    </row>
    <row r="17" spans="2:9" ht="22" customHeight="1" x14ac:dyDescent="0.2">
      <c r="B17" s="46"/>
      <c r="C17" s="46"/>
      <c r="D17" s="4"/>
      <c r="E17" s="46"/>
      <c r="F17" s="46"/>
      <c r="G17" s="46"/>
      <c r="H17" s="46"/>
      <c r="I17" s="46"/>
    </row>
    <row r="18" spans="2:9" ht="22" customHeight="1" x14ac:dyDescent="0.2">
      <c r="B18" s="47"/>
      <c r="C18" s="47"/>
      <c r="D18" s="2"/>
      <c r="E18" s="47"/>
      <c r="F18" s="47"/>
      <c r="G18" s="47"/>
      <c r="H18" s="47"/>
      <c r="I18" s="2"/>
    </row>
    <row r="19" spans="2:9" s="2" customFormat="1" ht="22" customHeight="1" x14ac:dyDescent="0.2">
      <c r="B19" s="48" t="s">
        <v>5</v>
      </c>
      <c r="C19" s="48"/>
      <c r="D19" s="48"/>
      <c r="E19" s="9" t="s">
        <v>6</v>
      </c>
      <c r="F19" s="9" t="s">
        <v>8</v>
      </c>
      <c r="G19" s="48" t="s">
        <v>9</v>
      </c>
      <c r="H19" s="48"/>
    </row>
    <row r="20" spans="2:9" ht="22" customHeight="1" x14ac:dyDescent="0.2">
      <c r="B20" s="59" t="s">
        <v>19</v>
      </c>
      <c r="C20" s="46"/>
      <c r="D20" s="60"/>
      <c r="E20" s="17">
        <v>40</v>
      </c>
      <c r="F20" s="18">
        <v>15</v>
      </c>
      <c r="G20" s="56">
        <f>F20*E20</f>
        <v>600</v>
      </c>
      <c r="H20" s="57"/>
    </row>
    <row r="21" spans="2:9" ht="22" customHeight="1" x14ac:dyDescent="0.2">
      <c r="B21" s="36" t="s">
        <v>20</v>
      </c>
      <c r="C21" s="36"/>
      <c r="D21" s="36"/>
      <c r="E21" s="19">
        <v>40</v>
      </c>
      <c r="F21" s="20">
        <v>12</v>
      </c>
      <c r="G21" s="44">
        <f>F21*E21</f>
        <v>480</v>
      </c>
      <c r="H21" s="44"/>
    </row>
    <row r="22" spans="2:9" ht="22" customHeight="1" x14ac:dyDescent="0.2">
      <c r="B22" s="36"/>
      <c r="C22" s="36"/>
      <c r="D22" s="36"/>
      <c r="E22" s="19"/>
      <c r="F22" s="20"/>
      <c r="G22" s="44">
        <f>F22*E22</f>
        <v>0</v>
      </c>
      <c r="H22" s="44"/>
    </row>
    <row r="23" spans="2:9" ht="22" customHeight="1" x14ac:dyDescent="0.2">
      <c r="B23" s="58"/>
      <c r="C23" s="58"/>
      <c r="D23" s="58"/>
      <c r="E23" s="21"/>
      <c r="F23" s="22"/>
      <c r="G23" s="44">
        <f t="shared" ref="G23:G30" si="0">F23*E23</f>
        <v>0</v>
      </c>
      <c r="H23" s="44"/>
    </row>
    <row r="24" spans="2:9" ht="22" customHeight="1" x14ac:dyDescent="0.2">
      <c r="B24" s="58"/>
      <c r="C24" s="58"/>
      <c r="D24" s="58"/>
      <c r="E24" s="21"/>
      <c r="F24" s="22"/>
      <c r="G24" s="44">
        <f t="shared" si="0"/>
        <v>0</v>
      </c>
      <c r="H24" s="44"/>
    </row>
    <row r="25" spans="2:9" ht="22" customHeight="1" x14ac:dyDescent="0.2">
      <c r="B25" s="58"/>
      <c r="C25" s="58"/>
      <c r="D25" s="58"/>
      <c r="E25" s="21"/>
      <c r="F25" s="22"/>
      <c r="G25" s="44">
        <f t="shared" si="0"/>
        <v>0</v>
      </c>
      <c r="H25" s="44"/>
    </row>
    <row r="26" spans="2:9" ht="22" customHeight="1" x14ac:dyDescent="0.2">
      <c r="B26" s="58"/>
      <c r="C26" s="58"/>
      <c r="D26" s="58"/>
      <c r="E26" s="21"/>
      <c r="F26" s="22"/>
      <c r="G26" s="44">
        <f t="shared" si="0"/>
        <v>0</v>
      </c>
      <c r="H26" s="44"/>
    </row>
    <row r="27" spans="2:9" ht="22" customHeight="1" x14ac:dyDescent="0.2">
      <c r="B27" s="58"/>
      <c r="C27" s="58"/>
      <c r="D27" s="58"/>
      <c r="E27" s="21"/>
      <c r="F27" s="22"/>
      <c r="G27" s="44">
        <f t="shared" si="0"/>
        <v>0</v>
      </c>
      <c r="H27" s="44"/>
    </row>
    <row r="28" spans="2:9" ht="22" customHeight="1" x14ac:dyDescent="0.2">
      <c r="B28" s="58"/>
      <c r="C28" s="58"/>
      <c r="D28" s="58"/>
      <c r="E28" s="21"/>
      <c r="F28" s="22"/>
      <c r="G28" s="44">
        <f t="shared" si="0"/>
        <v>0</v>
      </c>
      <c r="H28" s="44"/>
    </row>
    <row r="29" spans="2:9" ht="22" customHeight="1" x14ac:dyDescent="0.2">
      <c r="B29" s="58"/>
      <c r="C29" s="58"/>
      <c r="D29" s="58"/>
      <c r="E29" s="21"/>
      <c r="F29" s="22"/>
      <c r="G29" s="44">
        <f t="shared" si="0"/>
        <v>0</v>
      </c>
      <c r="H29" s="44"/>
    </row>
    <row r="30" spans="2:9" ht="22" customHeight="1" x14ac:dyDescent="0.2">
      <c r="B30" s="53"/>
      <c r="C30" s="54"/>
      <c r="D30" s="55"/>
      <c r="E30" s="10"/>
      <c r="F30" s="15"/>
      <c r="G30" s="56">
        <f t="shared" si="0"/>
        <v>0</v>
      </c>
      <c r="H30" s="57"/>
    </row>
    <row r="31" spans="2:9" ht="22" customHeight="1" x14ac:dyDescent="0.2">
      <c r="F31" s="11" t="s">
        <v>10</v>
      </c>
      <c r="G31" s="41">
        <f>SUM(G20:H30)</f>
        <v>1080</v>
      </c>
      <c r="H31" s="41"/>
    </row>
    <row r="32" spans="2:9" ht="22" customHeight="1" x14ac:dyDescent="0.2">
      <c r="F32" s="11" t="s">
        <v>11</v>
      </c>
      <c r="G32" s="41">
        <v>0</v>
      </c>
      <c r="H32" s="41"/>
    </row>
    <row r="33" spans="1:9" ht="22" customHeight="1" x14ac:dyDescent="0.2">
      <c r="F33" s="11" t="s">
        <v>12</v>
      </c>
      <c r="G33" s="41">
        <f>G31-G32</f>
        <v>1080</v>
      </c>
      <c r="H33" s="41"/>
    </row>
    <row r="34" spans="1:9" ht="22" customHeight="1" x14ac:dyDescent="0.2">
      <c r="F34" s="11" t="s">
        <v>13</v>
      </c>
      <c r="G34" s="42">
        <v>0</v>
      </c>
      <c r="H34" s="42"/>
    </row>
    <row r="35" spans="1:9" ht="22" customHeight="1" x14ac:dyDescent="0.2">
      <c r="F35" s="11" t="s">
        <v>14</v>
      </c>
      <c r="G35" s="41">
        <f>G33*G34</f>
        <v>0</v>
      </c>
      <c r="H35" s="41"/>
    </row>
    <row r="36" spans="1:9" ht="22" customHeight="1" thickBot="1" x14ac:dyDescent="0.25">
      <c r="F36" s="12" t="s">
        <v>15</v>
      </c>
      <c r="G36" s="43">
        <v>0</v>
      </c>
      <c r="H36" s="43"/>
    </row>
    <row r="37" spans="1:9" ht="42" customHeight="1" x14ac:dyDescent="0.2">
      <c r="F37" s="13" t="s">
        <v>16</v>
      </c>
      <c r="G37" s="39">
        <f>G33+G35+G36</f>
        <v>1080</v>
      </c>
      <c r="H37" s="39"/>
    </row>
    <row r="39" spans="1:9" ht="49" customHeight="1" x14ac:dyDescent="0.2"/>
    <row r="40" spans="1:9" x14ac:dyDescent="0.2">
      <c r="A40" s="1"/>
      <c r="B40" s="1"/>
      <c r="C40" s="1"/>
      <c r="D40" s="1"/>
      <c r="E40" s="1"/>
      <c r="F40" s="1"/>
      <c r="G40" s="1"/>
      <c r="H40" s="1"/>
      <c r="I40" s="1"/>
    </row>
  </sheetData>
  <mergeCells count="46">
    <mergeCell ref="B13:C13"/>
    <mergeCell ref="E14:I14"/>
    <mergeCell ref="G8:H8"/>
    <mergeCell ref="B21:D21"/>
    <mergeCell ref="B22:D22"/>
    <mergeCell ref="B23:D23"/>
    <mergeCell ref="B24:D24"/>
    <mergeCell ref="B19:D19"/>
    <mergeCell ref="B14:C14"/>
    <mergeCell ref="B15:C15"/>
    <mergeCell ref="B16:C16"/>
    <mergeCell ref="B20:D20"/>
    <mergeCell ref="B17:C17"/>
    <mergeCell ref="B18:C18"/>
    <mergeCell ref="G24:H24"/>
    <mergeCell ref="E13:H13"/>
    <mergeCell ref="F3:H4"/>
    <mergeCell ref="E15:I15"/>
    <mergeCell ref="E16:I16"/>
    <mergeCell ref="E17:I17"/>
    <mergeCell ref="G6:H6"/>
    <mergeCell ref="E18:H18"/>
    <mergeCell ref="G19:H19"/>
    <mergeCell ref="G20:H20"/>
    <mergeCell ref="G21:H21"/>
    <mergeCell ref="G22:H22"/>
    <mergeCell ref="G23:H23"/>
    <mergeCell ref="B30:D30"/>
    <mergeCell ref="G25:H25"/>
    <mergeCell ref="G26:H26"/>
    <mergeCell ref="G27:H27"/>
    <mergeCell ref="G28:H28"/>
    <mergeCell ref="G29:H29"/>
    <mergeCell ref="G30:H30"/>
    <mergeCell ref="B25:D25"/>
    <mergeCell ref="B26:D26"/>
    <mergeCell ref="B27:D27"/>
    <mergeCell ref="B28:D28"/>
    <mergeCell ref="B29:D29"/>
    <mergeCell ref="G37:H37"/>
    <mergeCell ref="G31:H31"/>
    <mergeCell ref="G32:H32"/>
    <mergeCell ref="G33:H33"/>
    <mergeCell ref="G34:H34"/>
    <mergeCell ref="G35:H35"/>
    <mergeCell ref="G36:H36"/>
  </mergeCells>
  <pageMargins left="0.45" right="0.45" top="0.5" bottom="0.5" header="0.3" footer="0.3"/>
  <pageSetup scale="62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9E6D9-0420-BF4F-85AD-4CB863DFE5FB}">
  <sheetPr codeName="Sheet2">
    <pageSetUpPr fitToPage="1"/>
  </sheetPr>
  <dimension ref="A1:L41"/>
  <sheetViews>
    <sheetView zoomScale="90" zoomScaleNormal="90" workbookViewId="0">
      <selection activeCell="B15" sqref="B15:C15"/>
    </sheetView>
  </sheetViews>
  <sheetFormatPr baseColWidth="10" defaultRowHeight="16" x14ac:dyDescent="0.2"/>
  <cols>
    <col min="1" max="1" width="4.1640625" customWidth="1"/>
    <col min="2" max="2" width="21.83203125" customWidth="1"/>
    <col min="3" max="3" width="38.83203125" customWidth="1"/>
    <col min="4" max="4" width="8.33203125" customWidth="1"/>
    <col min="5" max="5" width="6.33203125" customWidth="1"/>
    <col min="6" max="6" width="16.5" customWidth="1"/>
    <col min="7" max="7" width="18.1640625" customWidth="1"/>
    <col min="8" max="8" width="11" customWidth="1"/>
    <col min="10" max="10" width="4.6640625" customWidth="1"/>
    <col min="11" max="11" width="12.5" customWidth="1"/>
    <col min="12" max="12" width="31.33203125" customWidth="1"/>
  </cols>
  <sheetData>
    <row r="1" spans="1:12" x14ac:dyDescent="0.2">
      <c r="A1" s="1"/>
      <c r="B1" s="1"/>
      <c r="C1" s="1"/>
      <c r="D1" s="1"/>
      <c r="E1" s="1"/>
      <c r="F1" s="1"/>
      <c r="G1" s="1"/>
      <c r="H1" s="1"/>
      <c r="I1" s="1"/>
      <c r="J1" s="1"/>
    </row>
    <row r="2" spans="1:12" x14ac:dyDescent="0.2">
      <c r="A2" s="6"/>
      <c r="B2" s="6"/>
      <c r="C2" s="6"/>
      <c r="D2" s="6"/>
      <c r="E2" s="6"/>
      <c r="F2" s="6"/>
      <c r="G2" s="6"/>
      <c r="H2" s="6"/>
      <c r="I2" s="6"/>
      <c r="J2" s="6"/>
    </row>
    <row r="3" spans="1:12" ht="49" customHeight="1" x14ac:dyDescent="0.2">
      <c r="A3" s="6"/>
      <c r="B3" s="6"/>
      <c r="C3" s="24" t="s">
        <v>28</v>
      </c>
      <c r="D3" s="7"/>
      <c r="E3" s="7"/>
      <c r="F3" s="6"/>
      <c r="G3" s="49" t="s">
        <v>0</v>
      </c>
      <c r="H3" s="49"/>
      <c r="I3" s="49"/>
      <c r="J3" s="6"/>
    </row>
    <row r="4" spans="1:12" ht="25" customHeight="1" x14ac:dyDescent="0.2">
      <c r="A4" s="6"/>
      <c r="B4" s="23"/>
      <c r="C4" s="6" t="s">
        <v>29</v>
      </c>
      <c r="D4" s="7"/>
      <c r="E4" s="7"/>
      <c r="F4" s="6"/>
      <c r="G4" s="49"/>
      <c r="H4" s="49"/>
      <c r="I4" s="49"/>
      <c r="J4" s="6"/>
    </row>
    <row r="5" spans="1:12" ht="25" customHeight="1" x14ac:dyDescent="0.35">
      <c r="A5" s="6"/>
      <c r="B5" s="23"/>
      <c r="C5" s="6" t="s">
        <v>30</v>
      </c>
      <c r="D5" s="6"/>
      <c r="E5" s="6"/>
      <c r="F5" s="6"/>
      <c r="G5" s="49"/>
      <c r="H5" s="49"/>
      <c r="I5" s="49"/>
      <c r="J5" s="6"/>
      <c r="L5" s="3"/>
    </row>
    <row r="6" spans="1:12" ht="25" customHeight="1" x14ac:dyDescent="0.35">
      <c r="A6" s="6"/>
      <c r="B6" s="23"/>
      <c r="C6" s="6" t="s">
        <v>31</v>
      </c>
      <c r="D6" s="6"/>
      <c r="E6" s="6"/>
      <c r="F6" s="6"/>
      <c r="G6" s="6"/>
      <c r="H6" s="6"/>
      <c r="I6" s="6"/>
      <c r="J6" s="6"/>
      <c r="K6" s="3"/>
      <c r="L6" s="3"/>
    </row>
    <row r="7" spans="1:12" ht="32" customHeight="1" x14ac:dyDescent="0.35">
      <c r="A7" s="6"/>
      <c r="B7" s="6"/>
      <c r="C7" s="6"/>
      <c r="D7" s="6"/>
      <c r="E7" s="6"/>
      <c r="F7" s="6"/>
      <c r="G7" s="6" t="s">
        <v>1</v>
      </c>
      <c r="H7" s="50">
        <v>45759</v>
      </c>
      <c r="I7" s="50"/>
      <c r="J7" s="6"/>
      <c r="K7" s="3"/>
      <c r="L7" s="3"/>
    </row>
    <row r="8" spans="1:12" x14ac:dyDescent="0.2">
      <c r="A8" s="6"/>
      <c r="B8" s="6"/>
      <c r="C8" s="6"/>
      <c r="D8" s="6"/>
      <c r="E8" s="6"/>
      <c r="F8" s="6"/>
      <c r="G8" s="6"/>
      <c r="H8" s="6"/>
      <c r="I8" s="6"/>
      <c r="J8" s="6"/>
    </row>
    <row r="9" spans="1:12" x14ac:dyDescent="0.2">
      <c r="A9" s="6"/>
      <c r="B9" s="6"/>
      <c r="C9" s="6"/>
      <c r="D9" s="6"/>
      <c r="E9" s="6"/>
      <c r="F9" s="6"/>
      <c r="G9" s="6" t="s">
        <v>2</v>
      </c>
      <c r="H9" s="61" t="s">
        <v>21</v>
      </c>
      <c r="I9" s="61"/>
      <c r="J9" s="6"/>
    </row>
    <row r="10" spans="1:12" x14ac:dyDescent="0.2">
      <c r="A10" s="6"/>
      <c r="B10" s="6"/>
      <c r="C10" s="6"/>
      <c r="D10" s="6"/>
      <c r="E10" s="6"/>
      <c r="F10" s="6"/>
      <c r="G10" s="6"/>
      <c r="H10" s="6"/>
      <c r="I10" s="6"/>
      <c r="J10" s="6"/>
    </row>
    <row r="11" spans="1:12" x14ac:dyDescent="0.2">
      <c r="A11" s="6"/>
      <c r="B11" s="6"/>
      <c r="C11" s="6"/>
      <c r="D11" s="6"/>
      <c r="E11" s="6"/>
      <c r="F11" s="6"/>
      <c r="G11" s="6"/>
      <c r="H11" s="6"/>
      <c r="I11" s="6"/>
      <c r="J11" s="6"/>
    </row>
    <row r="13" spans="1:12" ht="22" customHeight="1" x14ac:dyDescent="0.2"/>
    <row r="14" spans="1:12" ht="22" customHeight="1" x14ac:dyDescent="0.2">
      <c r="B14" s="52" t="s">
        <v>3</v>
      </c>
      <c r="C14" s="52"/>
      <c r="D14" s="14"/>
      <c r="E14" s="5"/>
      <c r="F14" s="52" t="s">
        <v>4</v>
      </c>
      <c r="G14" s="52"/>
      <c r="H14" s="52"/>
      <c r="I14" s="52"/>
      <c r="J14" s="8"/>
    </row>
    <row r="15" spans="1:12" ht="22" customHeight="1" x14ac:dyDescent="0.2">
      <c r="B15" s="46" t="s">
        <v>22</v>
      </c>
      <c r="C15" s="46"/>
      <c r="D15" s="4"/>
      <c r="E15" s="4"/>
      <c r="F15" s="46" t="s">
        <v>22</v>
      </c>
      <c r="G15" s="46"/>
      <c r="H15" s="46"/>
      <c r="I15" s="46"/>
      <c r="J15" s="46"/>
    </row>
    <row r="16" spans="1:12" ht="22" customHeight="1" x14ac:dyDescent="0.2">
      <c r="B16" s="46" t="s">
        <v>23</v>
      </c>
      <c r="C16" s="46"/>
      <c r="D16" s="4"/>
      <c r="E16" s="4"/>
      <c r="F16" s="46" t="s">
        <v>23</v>
      </c>
      <c r="G16" s="46"/>
      <c r="H16" s="46"/>
      <c r="I16" s="46"/>
      <c r="J16" s="46"/>
    </row>
    <row r="17" spans="2:10" ht="22" customHeight="1" x14ac:dyDescent="0.2">
      <c r="B17" s="45">
        <v>2532567660</v>
      </c>
      <c r="C17" s="45"/>
      <c r="D17" s="16"/>
      <c r="E17" s="4"/>
      <c r="F17" s="45">
        <v>2532567660</v>
      </c>
      <c r="G17" s="45"/>
      <c r="H17" s="45"/>
      <c r="I17" s="45"/>
      <c r="J17" s="45"/>
    </row>
    <row r="18" spans="2:10" ht="22" customHeight="1" x14ac:dyDescent="0.2">
      <c r="B18" s="46"/>
      <c r="C18" s="46"/>
      <c r="D18" s="4"/>
      <c r="E18" s="4"/>
      <c r="F18" s="45"/>
      <c r="G18" s="45"/>
      <c r="H18" s="45"/>
      <c r="I18" s="45"/>
      <c r="J18" s="45"/>
    </row>
    <row r="19" spans="2:10" ht="22" customHeight="1" x14ac:dyDescent="0.2">
      <c r="B19" s="47"/>
      <c r="C19" s="47"/>
      <c r="D19" s="2"/>
      <c r="E19" s="2"/>
      <c r="F19" s="47"/>
      <c r="G19" s="47"/>
      <c r="H19" s="47"/>
      <c r="I19" s="47"/>
      <c r="J19" s="2"/>
    </row>
    <row r="20" spans="2:10" s="2" customFormat="1" ht="22" customHeight="1" x14ac:dyDescent="0.2">
      <c r="B20" s="48" t="s">
        <v>5</v>
      </c>
      <c r="C20" s="48"/>
      <c r="D20" s="48" t="s">
        <v>26</v>
      </c>
      <c r="E20" s="48"/>
      <c r="F20" s="9" t="s">
        <v>6</v>
      </c>
      <c r="G20" s="9" t="s">
        <v>8</v>
      </c>
      <c r="H20" s="48" t="s">
        <v>9</v>
      </c>
      <c r="I20" s="48"/>
    </row>
    <row r="21" spans="2:10" ht="22" customHeight="1" x14ac:dyDescent="0.2">
      <c r="B21" s="36" t="s">
        <v>24</v>
      </c>
      <c r="C21" s="36"/>
      <c r="D21" s="62" t="s">
        <v>27</v>
      </c>
      <c r="E21" s="63"/>
      <c r="F21" s="19">
        <v>16</v>
      </c>
      <c r="G21" s="20">
        <v>18.989999999999998</v>
      </c>
      <c r="H21" s="44">
        <f>G21*F21</f>
        <v>303.83999999999997</v>
      </c>
      <c r="I21" s="44"/>
    </row>
    <row r="22" spans="2:10" ht="22" customHeight="1" x14ac:dyDescent="0.2">
      <c r="B22" s="36" t="s">
        <v>25</v>
      </c>
      <c r="C22" s="36"/>
      <c r="D22" s="62" t="s">
        <v>27</v>
      </c>
      <c r="E22" s="63"/>
      <c r="F22" s="19">
        <v>36</v>
      </c>
      <c r="G22" s="20">
        <v>7.49</v>
      </c>
      <c r="H22" s="44">
        <f t="shared" ref="H22:H31" si="0">G22*F22</f>
        <v>269.64</v>
      </c>
      <c r="I22" s="44"/>
    </row>
    <row r="23" spans="2:10" ht="22" customHeight="1" x14ac:dyDescent="0.2">
      <c r="B23" s="36"/>
      <c r="C23" s="36"/>
      <c r="D23" s="62"/>
      <c r="E23" s="63"/>
      <c r="F23" s="19"/>
      <c r="G23" s="20"/>
      <c r="H23" s="44">
        <f t="shared" si="0"/>
        <v>0</v>
      </c>
      <c r="I23" s="44"/>
    </row>
    <row r="24" spans="2:10" ht="22" customHeight="1" x14ac:dyDescent="0.2">
      <c r="B24" s="36"/>
      <c r="C24" s="36"/>
      <c r="D24" s="62"/>
      <c r="E24" s="63"/>
      <c r="F24" s="21"/>
      <c r="G24" s="22"/>
      <c r="H24" s="44">
        <f t="shared" si="0"/>
        <v>0</v>
      </c>
      <c r="I24" s="44"/>
    </row>
    <row r="25" spans="2:10" ht="22" customHeight="1" x14ac:dyDescent="0.2">
      <c r="B25" s="36"/>
      <c r="C25" s="36"/>
      <c r="D25" s="62"/>
      <c r="E25" s="63"/>
      <c r="F25" s="21"/>
      <c r="G25" s="22"/>
      <c r="H25" s="44">
        <f t="shared" si="0"/>
        <v>0</v>
      </c>
      <c r="I25" s="44"/>
    </row>
    <row r="26" spans="2:10" ht="22" customHeight="1" x14ac:dyDescent="0.2">
      <c r="B26" s="36"/>
      <c r="C26" s="36"/>
      <c r="D26" s="62"/>
      <c r="E26" s="63"/>
      <c r="F26" s="21"/>
      <c r="G26" s="22"/>
      <c r="H26" s="44">
        <f t="shared" si="0"/>
        <v>0</v>
      </c>
      <c r="I26" s="44"/>
    </row>
    <row r="27" spans="2:10" ht="22" customHeight="1" x14ac:dyDescent="0.2">
      <c r="B27" s="36"/>
      <c r="C27" s="36"/>
      <c r="D27" s="62"/>
      <c r="E27" s="63"/>
      <c r="F27" s="21"/>
      <c r="G27" s="22"/>
      <c r="H27" s="44">
        <f t="shared" si="0"/>
        <v>0</v>
      </c>
      <c r="I27" s="44"/>
    </row>
    <row r="28" spans="2:10" ht="22" customHeight="1" x14ac:dyDescent="0.2">
      <c r="B28" s="36"/>
      <c r="C28" s="36"/>
      <c r="D28" s="62"/>
      <c r="E28" s="63"/>
      <c r="F28" s="21"/>
      <c r="G28" s="22"/>
      <c r="H28" s="44">
        <f t="shared" si="0"/>
        <v>0</v>
      </c>
      <c r="I28" s="44"/>
    </row>
    <row r="29" spans="2:10" ht="22" customHeight="1" x14ac:dyDescent="0.2">
      <c r="B29" s="36"/>
      <c r="C29" s="36"/>
      <c r="D29" s="62"/>
      <c r="E29" s="63"/>
      <c r="F29" s="21"/>
      <c r="G29" s="22"/>
      <c r="H29" s="44">
        <f t="shared" si="0"/>
        <v>0</v>
      </c>
      <c r="I29" s="44"/>
    </row>
    <row r="30" spans="2:10" ht="22" customHeight="1" x14ac:dyDescent="0.2">
      <c r="B30" s="36"/>
      <c r="C30" s="36"/>
      <c r="D30" s="62"/>
      <c r="E30" s="63"/>
      <c r="F30" s="21"/>
      <c r="G30" s="22"/>
      <c r="H30" s="44">
        <f t="shared" si="0"/>
        <v>0</v>
      </c>
      <c r="I30" s="44"/>
    </row>
    <row r="31" spans="2:10" ht="22" customHeight="1" x14ac:dyDescent="0.2">
      <c r="B31" s="36"/>
      <c r="C31" s="36"/>
      <c r="D31" s="62"/>
      <c r="E31" s="63"/>
      <c r="F31" s="21"/>
      <c r="G31" s="22"/>
      <c r="H31" s="44">
        <f t="shared" si="0"/>
        <v>0</v>
      </c>
      <c r="I31" s="44"/>
    </row>
    <row r="32" spans="2:10" ht="22" customHeight="1" x14ac:dyDescent="0.2">
      <c r="G32" s="11" t="s">
        <v>10</v>
      </c>
      <c r="H32" s="40">
        <f>SUM(H21:I31)</f>
        <v>573.48</v>
      </c>
      <c r="I32" s="40"/>
    </row>
    <row r="33" spans="1:10" ht="22" customHeight="1" x14ac:dyDescent="0.2">
      <c r="G33" s="11" t="s">
        <v>11</v>
      </c>
      <c r="H33" s="41">
        <v>0</v>
      </c>
      <c r="I33" s="41"/>
    </row>
    <row r="34" spans="1:10" ht="22" customHeight="1" x14ac:dyDescent="0.2">
      <c r="G34" s="11" t="s">
        <v>12</v>
      </c>
      <c r="H34" s="41">
        <f>H32-H33</f>
        <v>573.48</v>
      </c>
      <c r="I34" s="41"/>
    </row>
    <row r="35" spans="1:10" ht="22" customHeight="1" x14ac:dyDescent="0.2">
      <c r="G35" s="11" t="s">
        <v>13</v>
      </c>
      <c r="H35" s="42">
        <v>0</v>
      </c>
      <c r="I35" s="42"/>
    </row>
    <row r="36" spans="1:10" ht="22" customHeight="1" x14ac:dyDescent="0.2">
      <c r="G36" s="11" t="s">
        <v>14</v>
      </c>
      <c r="H36" s="41">
        <f>H34*H35</f>
        <v>0</v>
      </c>
      <c r="I36" s="41"/>
    </row>
    <row r="37" spans="1:10" ht="22" customHeight="1" thickBot="1" x14ac:dyDescent="0.25">
      <c r="G37" s="12" t="s">
        <v>15</v>
      </c>
      <c r="H37" s="43">
        <v>0</v>
      </c>
      <c r="I37" s="43"/>
    </row>
    <row r="38" spans="1:10" ht="42" customHeight="1" x14ac:dyDescent="0.2">
      <c r="G38" s="13" t="s">
        <v>16</v>
      </c>
      <c r="H38" s="39">
        <f>H34+H36+H37</f>
        <v>573.48</v>
      </c>
      <c r="I38" s="39"/>
    </row>
    <row r="40" spans="1:10" ht="49" customHeight="1" x14ac:dyDescent="0.2"/>
    <row r="41" spans="1:10" x14ac:dyDescent="0.2">
      <c r="A41" s="1"/>
      <c r="B41" s="1"/>
      <c r="C41" s="1"/>
      <c r="D41" s="1"/>
      <c r="E41" s="1"/>
      <c r="F41" s="1"/>
      <c r="G41" s="1"/>
      <c r="H41" s="1"/>
      <c r="I41" s="1"/>
      <c r="J41" s="1"/>
    </row>
  </sheetData>
  <mergeCells count="58">
    <mergeCell ref="B15:C15"/>
    <mergeCell ref="F15:J15"/>
    <mergeCell ref="G3:I5"/>
    <mergeCell ref="H7:I7"/>
    <mergeCell ref="H9:I9"/>
    <mergeCell ref="B14:C14"/>
    <mergeCell ref="F14:I14"/>
    <mergeCell ref="B21:C21"/>
    <mergeCell ref="D21:E21"/>
    <mergeCell ref="H21:I21"/>
    <mergeCell ref="B16:C16"/>
    <mergeCell ref="F16:J16"/>
    <mergeCell ref="B17:C17"/>
    <mergeCell ref="F17:J17"/>
    <mergeCell ref="B18:C18"/>
    <mergeCell ref="F18:J18"/>
    <mergeCell ref="B19:C19"/>
    <mergeCell ref="F19:I19"/>
    <mergeCell ref="B20:C20"/>
    <mergeCell ref="D20:E20"/>
    <mergeCell ref="H20:I20"/>
    <mergeCell ref="B22:C22"/>
    <mergeCell ref="D22:E22"/>
    <mergeCell ref="H22:I22"/>
    <mergeCell ref="B23:C23"/>
    <mergeCell ref="D23:E23"/>
    <mergeCell ref="H23:I23"/>
    <mergeCell ref="B24:C24"/>
    <mergeCell ref="D24:E24"/>
    <mergeCell ref="H24:I24"/>
    <mergeCell ref="B25:C25"/>
    <mergeCell ref="D25:E25"/>
    <mergeCell ref="H25:I25"/>
    <mergeCell ref="B26:C26"/>
    <mergeCell ref="D26:E26"/>
    <mergeCell ref="H26:I26"/>
    <mergeCell ref="B27:C27"/>
    <mergeCell ref="D27:E27"/>
    <mergeCell ref="H27:I27"/>
    <mergeCell ref="B28:C28"/>
    <mergeCell ref="D28:E28"/>
    <mergeCell ref="H28:I28"/>
    <mergeCell ref="B29:C29"/>
    <mergeCell ref="D29:E29"/>
    <mergeCell ref="H29:I29"/>
    <mergeCell ref="B30:C30"/>
    <mergeCell ref="D30:E30"/>
    <mergeCell ref="H30:I30"/>
    <mergeCell ref="B31:C31"/>
    <mergeCell ref="D31:E31"/>
    <mergeCell ref="H31:I31"/>
    <mergeCell ref="H38:I38"/>
    <mergeCell ref="H32:I32"/>
    <mergeCell ref="H33:I33"/>
    <mergeCell ref="H34:I34"/>
    <mergeCell ref="H35:I35"/>
    <mergeCell ref="H36:I36"/>
    <mergeCell ref="H37:I37"/>
  </mergeCells>
  <pageMargins left="0.45" right="0.45" top="0.5" bottom="0.5" header="0.3" footer="0.3"/>
  <pageSetup scale="64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0CA8C-32E6-1940-B967-C9772E415E6A}">
  <sheetPr codeName="Sheet4">
    <pageSetUpPr fitToPage="1"/>
  </sheetPr>
  <dimension ref="A1:L42"/>
  <sheetViews>
    <sheetView zoomScale="84" zoomScaleNormal="90" workbookViewId="0">
      <selection activeCell="B18" sqref="B18:C18"/>
    </sheetView>
  </sheetViews>
  <sheetFormatPr baseColWidth="10" defaultRowHeight="16" x14ac:dyDescent="0.2"/>
  <cols>
    <col min="1" max="1" width="4.1640625" customWidth="1"/>
    <col min="2" max="2" width="21.83203125" customWidth="1"/>
    <col min="3" max="3" width="38.83203125" customWidth="1"/>
    <col min="4" max="4" width="8.33203125" customWidth="1"/>
    <col min="5" max="5" width="6.33203125" customWidth="1"/>
    <col min="6" max="6" width="15.33203125" customWidth="1"/>
    <col min="7" max="7" width="18.6640625" customWidth="1"/>
    <col min="8" max="8" width="11" customWidth="1"/>
    <col min="10" max="10" width="4.6640625" customWidth="1"/>
    <col min="11" max="11" width="12.5" customWidth="1"/>
    <col min="12" max="12" width="31.33203125" customWidth="1"/>
  </cols>
  <sheetData>
    <row r="1" spans="1:12" x14ac:dyDescent="0.2">
      <c r="A1" s="1"/>
      <c r="B1" s="1"/>
      <c r="C1" s="1"/>
      <c r="D1" s="1"/>
      <c r="E1" s="1"/>
      <c r="F1" s="1"/>
      <c r="G1" s="1"/>
      <c r="H1" s="1"/>
      <c r="I1" s="1"/>
      <c r="J1" s="1"/>
    </row>
    <row r="2" spans="1:12" x14ac:dyDescent="0.2">
      <c r="A2" s="6"/>
      <c r="B2" s="6"/>
      <c r="C2" s="6"/>
      <c r="D2" s="6"/>
      <c r="E2" s="6"/>
      <c r="F2" s="6"/>
      <c r="G2" s="6"/>
      <c r="H2" s="6"/>
      <c r="I2" s="6"/>
      <c r="J2" s="6"/>
    </row>
    <row r="3" spans="1:12" ht="49" customHeight="1" x14ac:dyDescent="0.2">
      <c r="A3" s="6"/>
      <c r="B3" s="6"/>
      <c r="C3" s="24" t="s">
        <v>28</v>
      </c>
      <c r="D3" s="7"/>
      <c r="E3" s="7"/>
      <c r="F3" s="6"/>
      <c r="G3" s="49" t="s">
        <v>0</v>
      </c>
      <c r="H3" s="49"/>
      <c r="I3" s="49"/>
      <c r="J3" s="6"/>
    </row>
    <row r="4" spans="1:12" ht="25" customHeight="1" x14ac:dyDescent="0.2">
      <c r="A4" s="6"/>
      <c r="B4" s="23"/>
      <c r="C4" s="6" t="s">
        <v>29</v>
      </c>
      <c r="D4" s="7"/>
      <c r="E4" s="7"/>
      <c r="F4" s="6"/>
      <c r="G4" s="49"/>
      <c r="H4" s="49"/>
      <c r="I4" s="49"/>
      <c r="J4" s="6"/>
    </row>
    <row r="5" spans="1:12" ht="25" customHeight="1" x14ac:dyDescent="0.35">
      <c r="A5" s="6"/>
      <c r="B5" s="23"/>
      <c r="C5" s="6" t="s">
        <v>30</v>
      </c>
      <c r="D5" s="6"/>
      <c r="E5" s="6"/>
      <c r="F5" s="6"/>
      <c r="G5" s="49"/>
      <c r="H5" s="49"/>
      <c r="I5" s="49"/>
      <c r="J5" s="6"/>
      <c r="L5" s="3"/>
    </row>
    <row r="6" spans="1:12" ht="25" customHeight="1" x14ac:dyDescent="0.35">
      <c r="A6" s="6"/>
      <c r="B6" s="23"/>
      <c r="C6" s="6" t="s">
        <v>31</v>
      </c>
      <c r="D6" s="6"/>
      <c r="E6" s="6"/>
      <c r="F6" s="6"/>
      <c r="G6" s="6"/>
      <c r="H6" s="6"/>
      <c r="I6" s="6"/>
      <c r="J6" s="6"/>
      <c r="K6" s="3"/>
      <c r="L6" s="3"/>
    </row>
    <row r="7" spans="1:12" ht="32" customHeight="1" x14ac:dyDescent="0.35">
      <c r="A7" s="6"/>
      <c r="B7" s="6"/>
      <c r="C7" s="6"/>
      <c r="D7" s="6"/>
      <c r="E7" s="6"/>
      <c r="F7" s="6"/>
      <c r="G7" s="6" t="s">
        <v>1</v>
      </c>
      <c r="H7" s="50">
        <v>45769</v>
      </c>
      <c r="I7" s="50"/>
      <c r="J7" s="6"/>
      <c r="K7" s="3"/>
      <c r="L7" s="3"/>
    </row>
    <row r="8" spans="1:12" x14ac:dyDescent="0.2">
      <c r="A8" s="6"/>
      <c r="B8" s="6"/>
      <c r="C8" s="6"/>
      <c r="D8" s="6"/>
      <c r="E8" s="6"/>
      <c r="F8" s="6"/>
      <c r="G8" s="6"/>
      <c r="H8" s="6"/>
      <c r="I8" s="6"/>
      <c r="J8" s="6"/>
    </row>
    <row r="9" spans="1:12" x14ac:dyDescent="0.2">
      <c r="A9" s="6"/>
      <c r="B9" s="6"/>
      <c r="C9" s="6"/>
      <c r="D9" s="6"/>
      <c r="E9" s="6"/>
      <c r="F9" s="6"/>
      <c r="G9" s="6" t="s">
        <v>2</v>
      </c>
      <c r="H9" s="61" t="s">
        <v>32</v>
      </c>
      <c r="I9" s="61"/>
      <c r="J9" s="6"/>
    </row>
    <row r="10" spans="1:12" x14ac:dyDescent="0.2">
      <c r="A10" s="6"/>
      <c r="B10" s="6"/>
      <c r="C10" s="6"/>
      <c r="D10" s="6"/>
      <c r="E10" s="6"/>
      <c r="F10" s="6"/>
      <c r="G10" s="6"/>
      <c r="H10" s="6"/>
      <c r="I10" s="6"/>
      <c r="J10" s="6"/>
    </row>
    <row r="11" spans="1:12" x14ac:dyDescent="0.2">
      <c r="A11" s="6"/>
      <c r="B11" s="6"/>
      <c r="C11" s="6"/>
      <c r="D11" s="6"/>
      <c r="E11" s="6"/>
      <c r="F11" s="6"/>
      <c r="G11" s="6"/>
      <c r="H11" s="6"/>
      <c r="I11" s="6"/>
      <c r="J11" s="6"/>
    </row>
    <row r="13" spans="1:12" ht="22" customHeight="1" x14ac:dyDescent="0.2"/>
    <row r="14" spans="1:12" ht="22" customHeight="1" x14ac:dyDescent="0.2">
      <c r="B14" s="52" t="s">
        <v>3</v>
      </c>
      <c r="C14" s="52"/>
      <c r="D14" s="14"/>
      <c r="E14" s="5"/>
      <c r="F14" s="52" t="s">
        <v>4</v>
      </c>
      <c r="G14" s="52"/>
      <c r="H14" s="52"/>
      <c r="I14" s="52"/>
      <c r="J14" s="8"/>
    </row>
    <row r="15" spans="1:12" ht="22" customHeight="1" x14ac:dyDescent="0.2">
      <c r="B15" s="46" t="s">
        <v>45</v>
      </c>
      <c r="C15" s="46"/>
      <c r="D15" s="4"/>
      <c r="E15" s="4"/>
      <c r="F15" s="46" t="s">
        <v>46</v>
      </c>
      <c r="G15" s="46"/>
      <c r="H15" s="46"/>
      <c r="I15" s="46"/>
      <c r="J15" s="46"/>
    </row>
    <row r="16" spans="1:12" ht="22" customHeight="1" x14ac:dyDescent="0.2">
      <c r="B16" s="46">
        <v>6824339342</v>
      </c>
      <c r="C16" s="46"/>
      <c r="D16" s="4"/>
      <c r="E16" s="4"/>
      <c r="F16" s="46">
        <v>6824339342</v>
      </c>
      <c r="G16" s="46"/>
      <c r="H16" s="46"/>
      <c r="I16" s="46"/>
      <c r="J16" s="46"/>
    </row>
    <row r="17" spans="2:10" ht="22" customHeight="1" x14ac:dyDescent="0.2">
      <c r="B17" s="46" t="s">
        <v>43</v>
      </c>
      <c r="C17" s="46"/>
      <c r="D17" s="16"/>
      <c r="E17" s="4"/>
      <c r="F17" s="45" t="s">
        <v>43</v>
      </c>
      <c r="G17" s="45"/>
      <c r="H17" s="45"/>
      <c r="I17" s="45"/>
      <c r="J17" s="45"/>
    </row>
    <row r="18" spans="2:10" ht="22" customHeight="1" x14ac:dyDescent="0.2">
      <c r="B18" s="46" t="s">
        <v>44</v>
      </c>
      <c r="C18" s="46"/>
      <c r="D18" s="4"/>
      <c r="E18" s="4"/>
      <c r="F18" s="45" t="s">
        <v>44</v>
      </c>
      <c r="G18" s="45"/>
      <c r="H18" s="45"/>
      <c r="I18" s="45"/>
      <c r="J18" s="45"/>
    </row>
    <row r="19" spans="2:10" ht="22" customHeight="1" x14ac:dyDescent="0.2">
      <c r="B19" s="47"/>
      <c r="C19" s="47"/>
      <c r="D19" s="2"/>
      <c r="E19" s="2"/>
      <c r="F19" s="47"/>
      <c r="G19" s="47"/>
      <c r="H19" s="47"/>
      <c r="I19" s="47"/>
      <c r="J19" s="2"/>
    </row>
    <row r="20" spans="2:10" s="2" customFormat="1" ht="22" customHeight="1" x14ac:dyDescent="0.2">
      <c r="B20" s="48" t="s">
        <v>5</v>
      </c>
      <c r="C20" s="48"/>
      <c r="D20" s="48" t="s">
        <v>26</v>
      </c>
      <c r="E20" s="48"/>
      <c r="F20" s="9" t="s">
        <v>6</v>
      </c>
      <c r="G20" s="9" t="s">
        <v>8</v>
      </c>
      <c r="H20" s="48" t="s">
        <v>9</v>
      </c>
      <c r="I20" s="48"/>
    </row>
    <row r="21" spans="2:10" ht="22" customHeight="1" x14ac:dyDescent="0.2">
      <c r="B21" s="64" t="s">
        <v>24</v>
      </c>
      <c r="C21" s="65"/>
      <c r="D21" s="62" t="s">
        <v>27</v>
      </c>
      <c r="E21" s="63"/>
      <c r="F21" s="19">
        <v>1</v>
      </c>
      <c r="G21" s="20">
        <v>18.989999999999998</v>
      </c>
      <c r="H21" s="44">
        <f>G21*F21</f>
        <v>18.989999999999998</v>
      </c>
      <c r="I21" s="44"/>
    </row>
    <row r="22" spans="2:10" ht="22" customHeight="1" x14ac:dyDescent="0.2">
      <c r="B22" s="64" t="s">
        <v>34</v>
      </c>
      <c r="C22" s="65"/>
      <c r="D22" s="62" t="s">
        <v>27</v>
      </c>
      <c r="E22" s="63"/>
      <c r="F22" s="19">
        <v>1</v>
      </c>
      <c r="G22" s="20">
        <v>25.45</v>
      </c>
      <c r="H22" s="44">
        <f t="shared" ref="H22:H28" si="0">G22*F22</f>
        <v>25.45</v>
      </c>
      <c r="I22" s="44"/>
    </row>
    <row r="23" spans="2:10" ht="22" customHeight="1" x14ac:dyDescent="0.2">
      <c r="B23" s="64" t="s">
        <v>25</v>
      </c>
      <c r="C23" s="65"/>
      <c r="D23" s="62" t="s">
        <v>27</v>
      </c>
      <c r="E23" s="63"/>
      <c r="F23" s="19">
        <v>10</v>
      </c>
      <c r="G23" s="20">
        <v>7</v>
      </c>
      <c r="H23" s="44">
        <f t="shared" si="0"/>
        <v>70</v>
      </c>
      <c r="I23" s="44"/>
    </row>
    <row r="24" spans="2:10" ht="22" customHeight="1" x14ac:dyDescent="0.2">
      <c r="B24" s="64" t="s">
        <v>33</v>
      </c>
      <c r="C24" s="65"/>
      <c r="D24" s="62" t="s">
        <v>27</v>
      </c>
      <c r="E24" s="63"/>
      <c r="F24" s="21">
        <v>3</v>
      </c>
      <c r="G24" s="20">
        <v>9.99</v>
      </c>
      <c r="H24" s="44">
        <f t="shared" si="0"/>
        <v>29.97</v>
      </c>
      <c r="I24" s="44"/>
    </row>
    <row r="25" spans="2:10" ht="22" customHeight="1" x14ac:dyDescent="0.2">
      <c r="B25" s="64" t="s">
        <v>35</v>
      </c>
      <c r="C25" s="65"/>
      <c r="D25" s="62" t="s">
        <v>27</v>
      </c>
      <c r="E25" s="63"/>
      <c r="F25" s="21">
        <v>1</v>
      </c>
      <c r="G25" s="20">
        <v>9.99</v>
      </c>
      <c r="H25" s="44">
        <f t="shared" si="0"/>
        <v>9.99</v>
      </c>
      <c r="I25" s="44"/>
    </row>
    <row r="26" spans="2:10" ht="22" customHeight="1" x14ac:dyDescent="0.2">
      <c r="B26" s="64" t="s">
        <v>36</v>
      </c>
      <c r="C26" s="65"/>
      <c r="D26" s="62" t="s">
        <v>27</v>
      </c>
      <c r="E26" s="63"/>
      <c r="F26" s="21">
        <v>1</v>
      </c>
      <c r="G26" s="20">
        <v>9.99</v>
      </c>
      <c r="H26" s="44">
        <f t="shared" si="0"/>
        <v>9.99</v>
      </c>
      <c r="I26" s="44"/>
    </row>
    <row r="27" spans="2:10" ht="22" customHeight="1" x14ac:dyDescent="0.2">
      <c r="B27" s="64" t="s">
        <v>37</v>
      </c>
      <c r="C27" s="65"/>
      <c r="D27" s="62" t="s">
        <v>27</v>
      </c>
      <c r="E27" s="63"/>
      <c r="F27" s="21">
        <v>1</v>
      </c>
      <c r="G27" s="20">
        <v>9.99</v>
      </c>
      <c r="H27" s="44">
        <f t="shared" si="0"/>
        <v>9.99</v>
      </c>
      <c r="I27" s="44"/>
    </row>
    <row r="28" spans="2:10" ht="22" customHeight="1" x14ac:dyDescent="0.2">
      <c r="B28" s="64" t="s">
        <v>39</v>
      </c>
      <c r="C28" s="65"/>
      <c r="D28" s="62" t="s">
        <v>27</v>
      </c>
      <c r="E28" s="63"/>
      <c r="F28" s="21">
        <v>1</v>
      </c>
      <c r="G28" s="20">
        <v>9.99</v>
      </c>
      <c r="H28" s="44">
        <f t="shared" si="0"/>
        <v>9.99</v>
      </c>
      <c r="I28" s="44"/>
    </row>
    <row r="29" spans="2:10" ht="22" customHeight="1" x14ac:dyDescent="0.2">
      <c r="B29" s="64" t="s">
        <v>38</v>
      </c>
      <c r="C29" s="65"/>
      <c r="D29" s="62" t="s">
        <v>27</v>
      </c>
      <c r="E29" s="63"/>
      <c r="F29" s="21">
        <v>1</v>
      </c>
      <c r="G29" s="20">
        <v>9.99</v>
      </c>
      <c r="H29" s="44">
        <f t="shared" ref="H29:H32" si="1">G29*F29</f>
        <v>9.99</v>
      </c>
      <c r="I29" s="44"/>
    </row>
    <row r="30" spans="2:10" ht="22" customHeight="1" x14ac:dyDescent="0.2">
      <c r="B30" s="64" t="s">
        <v>41</v>
      </c>
      <c r="C30" s="65"/>
      <c r="D30" s="62" t="s">
        <v>27</v>
      </c>
      <c r="E30" s="63"/>
      <c r="F30" s="21">
        <v>1</v>
      </c>
      <c r="G30" s="20">
        <v>9.99</v>
      </c>
      <c r="H30" s="44">
        <f t="shared" si="1"/>
        <v>9.99</v>
      </c>
      <c r="I30" s="44"/>
    </row>
    <row r="31" spans="2:10" ht="22" customHeight="1" x14ac:dyDescent="0.2">
      <c r="B31" s="64" t="s">
        <v>40</v>
      </c>
      <c r="C31" s="65"/>
      <c r="D31" s="62" t="s">
        <v>27</v>
      </c>
      <c r="E31" s="63"/>
      <c r="F31" s="21">
        <v>1</v>
      </c>
      <c r="G31" s="20">
        <v>9.99</v>
      </c>
      <c r="H31" s="44">
        <f t="shared" si="1"/>
        <v>9.99</v>
      </c>
      <c r="I31" s="44"/>
    </row>
    <row r="32" spans="2:10" ht="22" customHeight="1" x14ac:dyDescent="0.2">
      <c r="B32" s="64" t="s">
        <v>42</v>
      </c>
      <c r="C32" s="65"/>
      <c r="D32" s="62" t="s">
        <v>27</v>
      </c>
      <c r="E32" s="63"/>
      <c r="F32" s="21">
        <v>1</v>
      </c>
      <c r="G32" s="20">
        <v>9.99</v>
      </c>
      <c r="H32" s="44">
        <f t="shared" si="1"/>
        <v>9.99</v>
      </c>
      <c r="I32" s="44"/>
    </row>
    <row r="33" spans="1:10" ht="22" customHeight="1" x14ac:dyDescent="0.2">
      <c r="B33" s="66" t="s">
        <v>9</v>
      </c>
      <c r="C33" s="66"/>
      <c r="D33" s="66"/>
      <c r="E33" s="66"/>
      <c r="F33" s="21">
        <f>SUM(F21:F32)</f>
        <v>23</v>
      </c>
      <c r="G33" s="11" t="s">
        <v>10</v>
      </c>
      <c r="H33" s="41">
        <f>SUM(H21:I32)</f>
        <v>224.33000000000007</v>
      </c>
      <c r="I33" s="41"/>
    </row>
    <row r="34" spans="1:10" ht="22" customHeight="1" x14ac:dyDescent="0.2">
      <c r="G34" s="11" t="s">
        <v>11</v>
      </c>
      <c r="H34" s="41">
        <v>0</v>
      </c>
      <c r="I34" s="41"/>
    </row>
    <row r="35" spans="1:10" ht="22" customHeight="1" x14ac:dyDescent="0.2">
      <c r="G35" s="11" t="s">
        <v>12</v>
      </c>
      <c r="H35" s="41">
        <f>H33-H34</f>
        <v>224.33000000000007</v>
      </c>
      <c r="I35" s="41"/>
    </row>
    <row r="36" spans="1:10" ht="22" customHeight="1" x14ac:dyDescent="0.2">
      <c r="G36" s="11" t="s">
        <v>13</v>
      </c>
      <c r="H36" s="42">
        <v>0</v>
      </c>
      <c r="I36" s="42"/>
    </row>
    <row r="37" spans="1:10" ht="22" customHeight="1" x14ac:dyDescent="0.2">
      <c r="G37" s="11" t="s">
        <v>14</v>
      </c>
      <c r="H37" s="41">
        <f>H35*H36</f>
        <v>0</v>
      </c>
      <c r="I37" s="41"/>
    </row>
    <row r="38" spans="1:10" ht="22" customHeight="1" thickBot="1" x14ac:dyDescent="0.25">
      <c r="G38" s="12" t="s">
        <v>15</v>
      </c>
      <c r="H38" s="43">
        <v>39</v>
      </c>
      <c r="I38" s="43"/>
    </row>
    <row r="39" spans="1:10" ht="42" customHeight="1" x14ac:dyDescent="0.2">
      <c r="G39" s="13" t="s">
        <v>16</v>
      </c>
      <c r="H39" s="39">
        <f>H35+H37+H38</f>
        <v>263.33000000000004</v>
      </c>
      <c r="I39" s="39"/>
    </row>
    <row r="41" spans="1:10" ht="49" customHeight="1" x14ac:dyDescent="0.2"/>
    <row r="42" spans="1:10" x14ac:dyDescent="0.2">
      <c r="A42" s="1"/>
      <c r="B42" s="1"/>
      <c r="C42" s="1"/>
      <c r="D42" s="1"/>
      <c r="E42" s="1"/>
      <c r="F42" s="1"/>
      <c r="G42" s="1"/>
      <c r="H42" s="1"/>
      <c r="I42" s="1"/>
      <c r="J42" s="1"/>
    </row>
  </sheetData>
  <mergeCells count="62">
    <mergeCell ref="H39:I39"/>
    <mergeCell ref="B29:C29"/>
    <mergeCell ref="D29:E29"/>
    <mergeCell ref="H29:I29"/>
    <mergeCell ref="H31:I31"/>
    <mergeCell ref="D31:E31"/>
    <mergeCell ref="B31:C31"/>
    <mergeCell ref="B33:E33"/>
    <mergeCell ref="H33:I33"/>
    <mergeCell ref="H34:I34"/>
    <mergeCell ref="H35:I35"/>
    <mergeCell ref="H36:I36"/>
    <mergeCell ref="H37:I37"/>
    <mergeCell ref="H38:I38"/>
    <mergeCell ref="B32:C32"/>
    <mergeCell ref="D32:E32"/>
    <mergeCell ref="H32:I32"/>
    <mergeCell ref="B28:C28"/>
    <mergeCell ref="D28:E28"/>
    <mergeCell ref="H28:I28"/>
    <mergeCell ref="B30:C30"/>
    <mergeCell ref="D30:E30"/>
    <mergeCell ref="H30:I30"/>
    <mergeCell ref="B26:C26"/>
    <mergeCell ref="D26:E26"/>
    <mergeCell ref="H26:I26"/>
    <mergeCell ref="B27:C27"/>
    <mergeCell ref="D27:E27"/>
    <mergeCell ref="H27:I27"/>
    <mergeCell ref="B24:C24"/>
    <mergeCell ref="D24:E24"/>
    <mergeCell ref="H24:I24"/>
    <mergeCell ref="B25:C25"/>
    <mergeCell ref="D25:E25"/>
    <mergeCell ref="H25:I25"/>
    <mergeCell ref="B22:C22"/>
    <mergeCell ref="D22:E22"/>
    <mergeCell ref="H22:I22"/>
    <mergeCell ref="B23:C23"/>
    <mergeCell ref="D23:E23"/>
    <mergeCell ref="H23:I23"/>
    <mergeCell ref="B21:C21"/>
    <mergeCell ref="D21:E21"/>
    <mergeCell ref="H21:I21"/>
    <mergeCell ref="B16:C16"/>
    <mergeCell ref="F16:J16"/>
    <mergeCell ref="B17:C17"/>
    <mergeCell ref="F17:J17"/>
    <mergeCell ref="B18:C18"/>
    <mergeCell ref="F18:J18"/>
    <mergeCell ref="B19:C19"/>
    <mergeCell ref="F19:I19"/>
    <mergeCell ref="B20:C20"/>
    <mergeCell ref="D20:E20"/>
    <mergeCell ref="H20:I20"/>
    <mergeCell ref="B15:C15"/>
    <mergeCell ref="F15:J15"/>
    <mergeCell ref="G3:I5"/>
    <mergeCell ref="H7:I7"/>
    <mergeCell ref="H9:I9"/>
    <mergeCell ref="B14:C14"/>
    <mergeCell ref="F14:I14"/>
  </mergeCells>
  <pageMargins left="0.45" right="0.45" top="0.5" bottom="0.5" header="0.3" footer="0.3"/>
  <pageSetup scale="65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C7DA-2DD8-8746-89F5-B40826A7C9DB}">
  <sheetPr codeName="Sheet5">
    <pageSetUpPr fitToPage="1"/>
  </sheetPr>
  <dimension ref="A1:M52"/>
  <sheetViews>
    <sheetView topLeftCell="A4" zoomScale="90" zoomScaleNormal="90" workbookViewId="0">
      <selection activeCell="G16" sqref="G16:K16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45771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8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80</v>
      </c>
      <c r="D15" s="46"/>
      <c r="E15" s="4"/>
      <c r="F15" s="4"/>
      <c r="G15" s="46" t="s">
        <v>80</v>
      </c>
      <c r="H15" s="46"/>
      <c r="I15" s="46"/>
      <c r="J15" s="46"/>
      <c r="K15" s="46"/>
    </row>
    <row r="16" spans="1:13" ht="22" customHeight="1" x14ac:dyDescent="0.2">
      <c r="C16" s="45">
        <v>3144784822</v>
      </c>
      <c r="D16" s="45"/>
      <c r="E16" s="4"/>
      <c r="F16" s="4"/>
      <c r="G16" s="45">
        <v>3144784822</v>
      </c>
      <c r="H16" s="45"/>
      <c r="I16" s="45"/>
      <c r="J16" s="45"/>
      <c r="K16" s="45"/>
    </row>
    <row r="17" spans="2:11" ht="22" customHeight="1" x14ac:dyDescent="0.2">
      <c r="C17" s="45" t="s">
        <v>47</v>
      </c>
      <c r="D17" s="45"/>
      <c r="E17" s="16"/>
      <c r="F17" s="4"/>
      <c r="G17" s="45" t="s">
        <v>47</v>
      </c>
      <c r="H17" s="45"/>
      <c r="I17" s="45"/>
      <c r="J17" s="45"/>
      <c r="K17" s="45"/>
    </row>
    <row r="18" spans="2:11" ht="22" customHeight="1" x14ac:dyDescent="0.2">
      <c r="C18" s="46" t="s">
        <v>81</v>
      </c>
      <c r="D18" s="46"/>
      <c r="E18" s="4"/>
      <c r="F18" s="4"/>
      <c r="G18" s="45" t="s">
        <v>81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48</v>
      </c>
      <c r="D21" s="36"/>
      <c r="E21" s="36" t="s">
        <v>27</v>
      </c>
      <c r="F21" s="36"/>
      <c r="G21" s="19">
        <v>16</v>
      </c>
      <c r="H21" s="20">
        <v>16</v>
      </c>
      <c r="I21" s="44">
        <v>256</v>
      </c>
      <c r="J21" s="44"/>
    </row>
    <row r="22" spans="2:11" ht="22" customHeight="1" x14ac:dyDescent="0.2">
      <c r="B22" s="25">
        <v>2</v>
      </c>
      <c r="C22" s="36" t="s">
        <v>49</v>
      </c>
      <c r="D22" s="36"/>
      <c r="E22" s="36" t="s">
        <v>27</v>
      </c>
      <c r="F22" s="36"/>
      <c r="G22" s="19">
        <v>16</v>
      </c>
      <c r="H22" s="20">
        <v>20</v>
      </c>
      <c r="I22" s="37">
        <v>320</v>
      </c>
      <c r="J22" s="38"/>
    </row>
    <row r="23" spans="2:11" ht="22" customHeight="1" x14ac:dyDescent="0.2">
      <c r="B23" s="25">
        <v>3</v>
      </c>
      <c r="C23" s="36" t="s">
        <v>50</v>
      </c>
      <c r="D23" s="36"/>
      <c r="E23" s="36" t="s">
        <v>27</v>
      </c>
      <c r="F23" s="36"/>
      <c r="G23" s="19">
        <v>16</v>
      </c>
      <c r="H23" s="20">
        <v>20</v>
      </c>
      <c r="I23" s="37">
        <v>320</v>
      </c>
      <c r="J23" s="38"/>
    </row>
    <row r="24" spans="2:11" ht="22" customHeight="1" x14ac:dyDescent="0.2">
      <c r="B24" s="25">
        <v>4</v>
      </c>
      <c r="C24" s="36" t="s">
        <v>51</v>
      </c>
      <c r="D24" s="36"/>
      <c r="E24" s="36" t="s">
        <v>27</v>
      </c>
      <c r="F24" s="36"/>
      <c r="G24" s="19">
        <v>16</v>
      </c>
      <c r="H24" s="20">
        <v>20</v>
      </c>
      <c r="I24" s="37">
        <v>320</v>
      </c>
      <c r="J24" s="38"/>
    </row>
    <row r="25" spans="2:11" ht="22" customHeight="1" x14ac:dyDescent="0.2">
      <c r="B25" s="25">
        <v>5</v>
      </c>
      <c r="C25" s="36" t="s">
        <v>52</v>
      </c>
      <c r="D25" s="36"/>
      <c r="E25" s="36" t="s">
        <v>27</v>
      </c>
      <c r="F25" s="36"/>
      <c r="G25" s="19">
        <v>16</v>
      </c>
      <c r="H25" s="20">
        <v>20</v>
      </c>
      <c r="I25" s="37">
        <v>320</v>
      </c>
      <c r="J25" s="38"/>
    </row>
    <row r="26" spans="2:11" ht="22" customHeight="1" x14ac:dyDescent="0.2">
      <c r="B26" s="25">
        <v>6</v>
      </c>
      <c r="C26" s="36" t="s">
        <v>53</v>
      </c>
      <c r="D26" s="36"/>
      <c r="E26" s="36" t="s">
        <v>27</v>
      </c>
      <c r="F26" s="36"/>
      <c r="G26" s="19">
        <v>16</v>
      </c>
      <c r="H26" s="20">
        <v>20</v>
      </c>
      <c r="I26" s="37">
        <v>320</v>
      </c>
      <c r="J26" s="38"/>
    </row>
    <row r="27" spans="2:11" ht="22" customHeight="1" x14ac:dyDescent="0.2">
      <c r="B27" s="25">
        <v>7</v>
      </c>
      <c r="C27" s="36" t="s">
        <v>54</v>
      </c>
      <c r="D27" s="36"/>
      <c r="E27" s="36" t="s">
        <v>27</v>
      </c>
      <c r="F27" s="36"/>
      <c r="G27" s="19">
        <v>16</v>
      </c>
      <c r="H27" s="20">
        <v>20</v>
      </c>
      <c r="I27" s="37">
        <v>320</v>
      </c>
      <c r="J27" s="38"/>
    </row>
    <row r="28" spans="2:11" ht="22" customHeight="1" x14ac:dyDescent="0.2">
      <c r="B28" s="25">
        <v>8</v>
      </c>
      <c r="C28" s="36" t="s">
        <v>55</v>
      </c>
      <c r="D28" s="36"/>
      <c r="E28" s="36" t="s">
        <v>27</v>
      </c>
      <c r="F28" s="36"/>
      <c r="G28" s="19">
        <v>16</v>
      </c>
      <c r="H28" s="20">
        <v>20</v>
      </c>
      <c r="I28" s="37">
        <v>320</v>
      </c>
      <c r="J28" s="38"/>
    </row>
    <row r="29" spans="2:11" ht="22" customHeight="1" x14ac:dyDescent="0.2">
      <c r="B29" s="25">
        <v>9</v>
      </c>
      <c r="C29" s="36" t="s">
        <v>56</v>
      </c>
      <c r="D29" s="36"/>
      <c r="E29" s="36" t="s">
        <v>27</v>
      </c>
      <c r="F29" s="36"/>
      <c r="G29" s="19">
        <v>16</v>
      </c>
      <c r="H29" s="20">
        <v>20</v>
      </c>
      <c r="I29" s="37">
        <v>320</v>
      </c>
      <c r="J29" s="38"/>
    </row>
    <row r="30" spans="2:11" ht="22" customHeight="1" x14ac:dyDescent="0.2">
      <c r="B30" s="25">
        <v>10</v>
      </c>
      <c r="C30" s="36" t="s">
        <v>57</v>
      </c>
      <c r="D30" s="36"/>
      <c r="E30" s="36" t="s">
        <v>27</v>
      </c>
      <c r="F30" s="36"/>
      <c r="G30" s="19">
        <v>16</v>
      </c>
      <c r="H30" s="20">
        <v>20</v>
      </c>
      <c r="I30" s="37">
        <v>320</v>
      </c>
      <c r="J30" s="38"/>
    </row>
    <row r="31" spans="2:11" ht="22" customHeight="1" x14ac:dyDescent="0.2">
      <c r="B31" s="25">
        <v>11</v>
      </c>
      <c r="C31" s="36" t="s">
        <v>58</v>
      </c>
      <c r="D31" s="36"/>
      <c r="E31" s="36" t="s">
        <v>27</v>
      </c>
      <c r="F31" s="36"/>
      <c r="G31" s="19">
        <v>16</v>
      </c>
      <c r="H31" s="20">
        <v>20</v>
      </c>
      <c r="I31" s="37">
        <v>320</v>
      </c>
      <c r="J31" s="38"/>
    </row>
    <row r="32" spans="2:11" ht="22" customHeight="1" x14ac:dyDescent="0.2">
      <c r="B32" s="25">
        <v>12</v>
      </c>
      <c r="C32" s="36" t="s">
        <v>59</v>
      </c>
      <c r="D32" s="36"/>
      <c r="E32" s="36" t="s">
        <v>27</v>
      </c>
      <c r="F32" s="36"/>
      <c r="G32" s="19">
        <v>8</v>
      </c>
      <c r="H32" s="20">
        <v>7</v>
      </c>
      <c r="I32" s="37">
        <v>56</v>
      </c>
      <c r="J32" s="38"/>
    </row>
    <row r="33" spans="2:10" ht="22" customHeight="1" x14ac:dyDescent="0.2">
      <c r="B33" s="25">
        <v>13</v>
      </c>
      <c r="C33" s="36" t="s">
        <v>60</v>
      </c>
      <c r="D33" s="36"/>
      <c r="E33" s="36" t="s">
        <v>27</v>
      </c>
      <c r="F33" s="36"/>
      <c r="G33" s="19">
        <v>8</v>
      </c>
      <c r="H33" s="20">
        <v>12</v>
      </c>
      <c r="I33" s="37">
        <v>96</v>
      </c>
      <c r="J33" s="38"/>
    </row>
    <row r="34" spans="2:10" ht="22" customHeight="1" x14ac:dyDescent="0.2">
      <c r="B34" s="25">
        <v>14</v>
      </c>
      <c r="C34" s="36" t="s">
        <v>61</v>
      </c>
      <c r="D34" s="36"/>
      <c r="E34" s="36" t="s">
        <v>27</v>
      </c>
      <c r="F34" s="36"/>
      <c r="G34" s="19">
        <v>8</v>
      </c>
      <c r="H34" s="20">
        <v>12</v>
      </c>
      <c r="I34" s="37">
        <v>96</v>
      </c>
      <c r="J34" s="38"/>
    </row>
    <row r="35" spans="2:10" ht="22" customHeight="1" x14ac:dyDescent="0.2">
      <c r="B35" s="25">
        <v>15</v>
      </c>
      <c r="C35" s="36" t="s">
        <v>62</v>
      </c>
      <c r="D35" s="36"/>
      <c r="E35" s="36" t="s">
        <v>27</v>
      </c>
      <c r="F35" s="36"/>
      <c r="G35" s="19">
        <v>8</v>
      </c>
      <c r="H35" s="20">
        <v>12</v>
      </c>
      <c r="I35" s="37">
        <v>96</v>
      </c>
      <c r="J35" s="38"/>
    </row>
    <row r="36" spans="2:10" ht="22" customHeight="1" x14ac:dyDescent="0.2">
      <c r="B36" s="25">
        <v>16</v>
      </c>
      <c r="C36" s="36" t="s">
        <v>63</v>
      </c>
      <c r="D36" s="36"/>
      <c r="E36" s="36" t="s">
        <v>27</v>
      </c>
      <c r="F36" s="36"/>
      <c r="G36" s="19">
        <v>8</v>
      </c>
      <c r="H36" s="20">
        <v>12</v>
      </c>
      <c r="I36" s="37">
        <v>96</v>
      </c>
      <c r="J36" s="38"/>
    </row>
    <row r="37" spans="2:10" ht="22" customHeight="1" x14ac:dyDescent="0.2">
      <c r="B37" s="25">
        <v>17</v>
      </c>
      <c r="C37" s="36" t="s">
        <v>64</v>
      </c>
      <c r="D37" s="36"/>
      <c r="E37" s="36" t="s">
        <v>27</v>
      </c>
      <c r="F37" s="36"/>
      <c r="G37" s="19">
        <v>8</v>
      </c>
      <c r="H37" s="20">
        <v>12</v>
      </c>
      <c r="I37" s="37">
        <v>96</v>
      </c>
      <c r="J37" s="38"/>
    </row>
    <row r="38" spans="2:10" ht="22" customHeight="1" x14ac:dyDescent="0.2">
      <c r="B38" s="25">
        <v>18</v>
      </c>
      <c r="C38" s="36" t="s">
        <v>65</v>
      </c>
      <c r="D38" s="36"/>
      <c r="E38" s="36" t="s">
        <v>27</v>
      </c>
      <c r="F38" s="36"/>
      <c r="G38" s="19">
        <v>8</v>
      </c>
      <c r="H38" s="20">
        <v>12</v>
      </c>
      <c r="I38" s="37">
        <v>96</v>
      </c>
      <c r="J38" s="38"/>
    </row>
    <row r="39" spans="2:10" ht="22" customHeight="1" x14ac:dyDescent="0.2">
      <c r="B39" s="25">
        <v>19</v>
      </c>
      <c r="C39" s="36" t="s">
        <v>66</v>
      </c>
      <c r="D39" s="36"/>
      <c r="E39" s="36" t="s">
        <v>27</v>
      </c>
      <c r="F39" s="36"/>
      <c r="G39" s="19">
        <v>8</v>
      </c>
      <c r="H39" s="20">
        <v>12</v>
      </c>
      <c r="I39" s="37">
        <v>96</v>
      </c>
      <c r="J39" s="38"/>
    </row>
    <row r="40" spans="2:10" ht="22" customHeight="1" x14ac:dyDescent="0.2">
      <c r="B40" s="25">
        <v>20</v>
      </c>
      <c r="C40" s="36" t="s">
        <v>67</v>
      </c>
      <c r="D40" s="36"/>
      <c r="E40" s="36" t="s">
        <v>27</v>
      </c>
      <c r="F40" s="36"/>
      <c r="G40" s="19">
        <v>8</v>
      </c>
      <c r="H40" s="20">
        <v>12</v>
      </c>
      <c r="I40" s="37">
        <v>96</v>
      </c>
      <c r="J40" s="38"/>
    </row>
    <row r="41" spans="2:10" ht="22" customHeight="1" x14ac:dyDescent="0.2">
      <c r="B41" s="25">
        <v>21</v>
      </c>
      <c r="C41" s="36" t="s">
        <v>68</v>
      </c>
      <c r="D41" s="36"/>
      <c r="E41" s="36" t="s">
        <v>27</v>
      </c>
      <c r="F41" s="36"/>
      <c r="G41" s="19">
        <v>8</v>
      </c>
      <c r="H41" s="20">
        <v>12</v>
      </c>
      <c r="I41" s="37">
        <v>96</v>
      </c>
      <c r="J41" s="38"/>
    </row>
    <row r="42" spans="2:10" ht="22" customHeight="1" x14ac:dyDescent="0.2">
      <c r="B42" s="25">
        <v>22</v>
      </c>
      <c r="C42" s="36" t="s">
        <v>69</v>
      </c>
      <c r="D42" s="36"/>
      <c r="E42" s="36" t="s">
        <v>27</v>
      </c>
      <c r="F42" s="36"/>
      <c r="G42" s="19">
        <v>8</v>
      </c>
      <c r="H42" s="20">
        <v>12</v>
      </c>
      <c r="I42" s="37">
        <v>96</v>
      </c>
      <c r="J42" s="38"/>
    </row>
    <row r="43" spans="2:10" ht="22" customHeight="1" x14ac:dyDescent="0.2">
      <c r="H43" s="11" t="s">
        <v>10</v>
      </c>
      <c r="I43" s="40">
        <v>4472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4472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4472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1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K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</mergeCells>
  <pageMargins left="0.45" right="0.45" top="0.5" bottom="0.5" header="0.3" footer="0.3"/>
  <pageSetup scale="64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8A16-98BD-9E41-AAC9-F5A506FD4226}">
  <sheetPr codeName="Sheet6">
    <pageSetUpPr fitToPage="1"/>
  </sheetPr>
  <dimension ref="A1:M52"/>
  <sheetViews>
    <sheetView topLeftCell="A3" zoomScale="90" zoomScaleNormal="90" workbookViewId="0">
      <selection activeCell="I7" sqref="I7:J7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45764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9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82</v>
      </c>
      <c r="D15" s="46"/>
      <c r="E15" s="4"/>
      <c r="F15" s="4"/>
      <c r="G15" s="46" t="s">
        <v>82</v>
      </c>
      <c r="H15" s="46"/>
      <c r="I15" s="46"/>
      <c r="J15" s="46"/>
      <c r="K15" s="46"/>
    </row>
    <row r="16" spans="1:13" ht="22" customHeight="1" x14ac:dyDescent="0.2">
      <c r="C16" s="46" t="s">
        <v>83</v>
      </c>
      <c r="D16" s="46"/>
      <c r="E16" s="4"/>
      <c r="F16" s="4"/>
      <c r="G16" s="46" t="s">
        <v>83</v>
      </c>
      <c r="H16" s="46"/>
      <c r="I16" s="46"/>
      <c r="J16" s="46"/>
      <c r="K16" s="46"/>
    </row>
    <row r="17" spans="2:11" ht="22" customHeight="1" x14ac:dyDescent="0.2">
      <c r="C17" s="45" t="s">
        <v>84</v>
      </c>
      <c r="D17" s="45"/>
      <c r="E17" s="16"/>
      <c r="F17" s="4"/>
      <c r="G17" s="45" t="s">
        <v>84</v>
      </c>
      <c r="H17" s="45"/>
      <c r="I17" s="45"/>
      <c r="J17" s="45"/>
      <c r="K17" s="45"/>
    </row>
    <row r="18" spans="2:11" ht="22" customHeight="1" x14ac:dyDescent="0.2">
      <c r="C18" s="46"/>
      <c r="D18" s="46"/>
      <c r="E18" s="4"/>
      <c r="F18" s="4"/>
      <c r="G18" s="45"/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57</v>
      </c>
      <c r="D21" s="36"/>
      <c r="E21" s="36" t="s">
        <v>27</v>
      </c>
      <c r="F21" s="36"/>
      <c r="G21" s="19">
        <v>15</v>
      </c>
      <c r="H21" s="20">
        <v>20</v>
      </c>
      <c r="I21" s="44">
        <v>300</v>
      </c>
      <c r="J21" s="44"/>
    </row>
    <row r="22" spans="2:11" ht="22" customHeight="1" x14ac:dyDescent="0.2">
      <c r="B22" s="25">
        <v>2</v>
      </c>
      <c r="C22" s="36" t="s">
        <v>52</v>
      </c>
      <c r="D22" s="36"/>
      <c r="E22" s="36" t="s">
        <v>27</v>
      </c>
      <c r="F22" s="36"/>
      <c r="G22" s="19">
        <v>15</v>
      </c>
      <c r="H22" s="20">
        <v>20</v>
      </c>
      <c r="I22" s="37">
        <v>300</v>
      </c>
      <c r="J22" s="38"/>
    </row>
    <row r="23" spans="2:11" ht="22" customHeight="1" x14ac:dyDescent="0.2">
      <c r="B23" s="25">
        <v>3</v>
      </c>
      <c r="C23" s="36" t="s">
        <v>54</v>
      </c>
      <c r="D23" s="36"/>
      <c r="E23" s="36" t="s">
        <v>27</v>
      </c>
      <c r="F23" s="36"/>
      <c r="G23" s="19">
        <v>15</v>
      </c>
      <c r="H23" s="20">
        <v>20</v>
      </c>
      <c r="I23" s="37">
        <v>300</v>
      </c>
      <c r="J23" s="38"/>
    </row>
    <row r="24" spans="2:11" ht="22" customHeight="1" x14ac:dyDescent="0.2">
      <c r="B24" s="25">
        <v>4</v>
      </c>
      <c r="C24" s="36" t="s">
        <v>48</v>
      </c>
      <c r="D24" s="36"/>
      <c r="E24" s="36" t="s">
        <v>27</v>
      </c>
      <c r="F24" s="36"/>
      <c r="G24" s="19">
        <v>19</v>
      </c>
      <c r="H24" s="20">
        <v>16</v>
      </c>
      <c r="I24" s="37">
        <v>288</v>
      </c>
      <c r="J24" s="38"/>
    </row>
    <row r="25" spans="2:11" ht="22" customHeight="1" x14ac:dyDescent="0.2">
      <c r="B25" s="25">
        <v>5</v>
      </c>
      <c r="C25" s="36" t="s">
        <v>50</v>
      </c>
      <c r="D25" s="36"/>
      <c r="E25" s="36" t="s">
        <v>27</v>
      </c>
      <c r="F25" s="36"/>
      <c r="G25" s="19">
        <v>15</v>
      </c>
      <c r="H25" s="20">
        <v>20</v>
      </c>
      <c r="I25" s="37">
        <v>300</v>
      </c>
      <c r="J25" s="38"/>
    </row>
    <row r="26" spans="2:11" ht="22" customHeight="1" x14ac:dyDescent="0.2">
      <c r="B26" s="25">
        <v>6</v>
      </c>
      <c r="C26" s="36" t="s">
        <v>59</v>
      </c>
      <c r="D26" s="36"/>
      <c r="E26" s="36" t="s">
        <v>27</v>
      </c>
      <c r="F26" s="36"/>
      <c r="G26" s="19">
        <v>35</v>
      </c>
      <c r="H26" s="20">
        <v>7</v>
      </c>
      <c r="I26" s="37">
        <v>245</v>
      </c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1733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1733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1733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1"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  <mergeCell ref="C40:D40"/>
    <mergeCell ref="E40:F40"/>
    <mergeCell ref="I40:J40"/>
    <mergeCell ref="C41:D41"/>
    <mergeCell ref="E41:F41"/>
    <mergeCell ref="I41:J41"/>
    <mergeCell ref="C38:D38"/>
    <mergeCell ref="E38:F38"/>
    <mergeCell ref="I38:J38"/>
    <mergeCell ref="C39:D39"/>
    <mergeCell ref="E39:F39"/>
    <mergeCell ref="I39:J39"/>
    <mergeCell ref="C36:D36"/>
    <mergeCell ref="E36:F36"/>
    <mergeCell ref="I36:J36"/>
    <mergeCell ref="C37:D37"/>
    <mergeCell ref="E37:F37"/>
    <mergeCell ref="I37:J37"/>
    <mergeCell ref="C34:D34"/>
    <mergeCell ref="E34:F34"/>
    <mergeCell ref="I34:J34"/>
    <mergeCell ref="C35:D35"/>
    <mergeCell ref="E35:F35"/>
    <mergeCell ref="I35:J35"/>
    <mergeCell ref="C32:D32"/>
    <mergeCell ref="E32:F32"/>
    <mergeCell ref="I32:J32"/>
    <mergeCell ref="C33:D33"/>
    <mergeCell ref="E33:F33"/>
    <mergeCell ref="I33:J33"/>
    <mergeCell ref="C30:D30"/>
    <mergeCell ref="E30:F30"/>
    <mergeCell ref="I30:J30"/>
    <mergeCell ref="C31:D31"/>
    <mergeCell ref="E31:F31"/>
    <mergeCell ref="I31:J31"/>
    <mergeCell ref="C28:D28"/>
    <mergeCell ref="E28:F28"/>
    <mergeCell ref="I28:J28"/>
    <mergeCell ref="C29:D29"/>
    <mergeCell ref="E29:F29"/>
    <mergeCell ref="I29:J29"/>
    <mergeCell ref="C26:D26"/>
    <mergeCell ref="E26:F26"/>
    <mergeCell ref="I26:J26"/>
    <mergeCell ref="C27:D27"/>
    <mergeCell ref="E27:F27"/>
    <mergeCell ref="I27:J27"/>
    <mergeCell ref="C24:D24"/>
    <mergeCell ref="E24:F24"/>
    <mergeCell ref="I24:J24"/>
    <mergeCell ref="C25:D25"/>
    <mergeCell ref="E25:F25"/>
    <mergeCell ref="I25:J25"/>
    <mergeCell ref="C22:D22"/>
    <mergeCell ref="E22:F22"/>
    <mergeCell ref="I22:J22"/>
    <mergeCell ref="C23:D23"/>
    <mergeCell ref="E23:F23"/>
    <mergeCell ref="I23:J23"/>
    <mergeCell ref="C21:D21"/>
    <mergeCell ref="E21:F21"/>
    <mergeCell ref="I21:J21"/>
    <mergeCell ref="C16:D16"/>
    <mergeCell ref="G16:K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15:D15"/>
    <mergeCell ref="G15:K15"/>
    <mergeCell ref="H3:J5"/>
    <mergeCell ref="I7:J7"/>
    <mergeCell ref="I9:J9"/>
    <mergeCell ref="C14:D14"/>
    <mergeCell ref="G14:J14"/>
  </mergeCells>
  <pageMargins left="0.45" right="0.45" top="0.5" bottom="0.5" header="0.3" footer="0.3"/>
  <pageSetup scale="61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B7C54-332F-6E4A-BE10-A2C34A5EF348}">
  <sheetPr codeName="Sheet7">
    <pageSetUpPr fitToPage="1"/>
  </sheetPr>
  <dimension ref="A1:M52"/>
  <sheetViews>
    <sheetView topLeftCell="A4" zoomScale="90" zoomScaleNormal="90" workbookViewId="0">
      <selection activeCell="I7" sqref="I7:J7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45777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10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82</v>
      </c>
      <c r="D15" s="46"/>
      <c r="E15" s="4"/>
      <c r="F15" s="4"/>
      <c r="G15" s="46" t="s">
        <v>82</v>
      </c>
      <c r="H15" s="46"/>
      <c r="I15" s="46"/>
      <c r="J15" s="46"/>
      <c r="K15" s="46"/>
    </row>
    <row r="16" spans="1:13" ht="22" customHeight="1" x14ac:dyDescent="0.2">
      <c r="C16" s="46">
        <v>3143519495</v>
      </c>
      <c r="D16" s="46"/>
      <c r="E16" s="4"/>
      <c r="F16" s="4"/>
      <c r="G16" s="46">
        <v>3143519495</v>
      </c>
      <c r="H16" s="46"/>
      <c r="I16" s="46"/>
      <c r="J16" s="46"/>
      <c r="K16" s="46"/>
    </row>
    <row r="17" spans="2:11" ht="22" customHeight="1" x14ac:dyDescent="0.2">
      <c r="C17" s="45" t="s">
        <v>83</v>
      </c>
      <c r="D17" s="45"/>
      <c r="E17" s="16"/>
      <c r="F17" s="4"/>
      <c r="G17" s="45" t="s">
        <v>83</v>
      </c>
      <c r="H17" s="45"/>
      <c r="I17" s="45"/>
      <c r="J17" s="45"/>
      <c r="K17" s="45"/>
    </row>
    <row r="18" spans="2:11" ht="22" customHeight="1" x14ac:dyDescent="0.2">
      <c r="C18" s="46" t="s">
        <v>89</v>
      </c>
      <c r="D18" s="46"/>
      <c r="E18" s="4"/>
      <c r="F18" s="4"/>
      <c r="G18" s="45" t="s">
        <v>89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52</v>
      </c>
      <c r="D21" s="36"/>
      <c r="E21" s="36" t="s">
        <v>27</v>
      </c>
      <c r="F21" s="36"/>
      <c r="G21" s="19">
        <v>32</v>
      </c>
      <c r="H21" s="20">
        <v>20</v>
      </c>
      <c r="I21" s="44">
        <v>640</v>
      </c>
      <c r="J21" s="44"/>
    </row>
    <row r="22" spans="2:11" ht="22" customHeight="1" x14ac:dyDescent="0.2">
      <c r="B22" s="25">
        <v>2</v>
      </c>
      <c r="C22" s="36" t="s">
        <v>63</v>
      </c>
      <c r="D22" s="36"/>
      <c r="E22" s="36" t="s">
        <v>27</v>
      </c>
      <c r="F22" s="36"/>
      <c r="G22" s="19">
        <v>10</v>
      </c>
      <c r="H22" s="20">
        <v>12</v>
      </c>
      <c r="I22" s="37">
        <v>120</v>
      </c>
      <c r="J22" s="38"/>
    </row>
    <row r="23" spans="2:11" ht="22" customHeight="1" x14ac:dyDescent="0.2">
      <c r="B23" s="25"/>
      <c r="C23" s="36"/>
      <c r="D23" s="36"/>
      <c r="E23" s="36"/>
      <c r="F23" s="36"/>
      <c r="G23" s="19"/>
      <c r="H23" s="20"/>
      <c r="I23" s="37"/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760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760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760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1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K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</mergeCells>
  <pageMargins left="0.45" right="0.45" top="0.5" bottom="0.5" header="0.3" footer="0.3"/>
  <pageSetup scale="61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6114F-1BFB-564B-BF8F-23229020929D}">
  <sheetPr codeName="Sheet9">
    <pageSetUpPr fitToPage="1"/>
  </sheetPr>
  <dimension ref="A1:M52"/>
  <sheetViews>
    <sheetView topLeftCell="A5" zoomScale="90" zoomScaleNormal="90" workbookViewId="0">
      <selection activeCell="M20" sqref="M20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45800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11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90</v>
      </c>
      <c r="D15" s="46"/>
      <c r="E15" s="4"/>
      <c r="F15" s="4"/>
      <c r="G15" s="46" t="s">
        <v>90</v>
      </c>
      <c r="H15" s="46"/>
      <c r="I15" s="46"/>
      <c r="J15" s="46"/>
      <c r="K15" s="46"/>
    </row>
    <row r="16" spans="1:13" ht="22" customHeight="1" x14ac:dyDescent="0.2">
      <c r="C16" s="45">
        <v>7542651537</v>
      </c>
      <c r="D16" s="45"/>
      <c r="E16" s="4"/>
      <c r="F16" s="4"/>
      <c r="G16" s="45">
        <v>7542651537</v>
      </c>
      <c r="H16" s="45"/>
      <c r="I16" s="45"/>
      <c r="J16" s="45"/>
      <c r="K16" s="16"/>
    </row>
    <row r="17" spans="2:11" ht="22" customHeight="1" x14ac:dyDescent="0.2">
      <c r="C17" s="45" t="s">
        <v>91</v>
      </c>
      <c r="D17" s="45"/>
      <c r="E17" s="16"/>
      <c r="F17" s="4"/>
      <c r="G17" s="45" t="s">
        <v>91</v>
      </c>
      <c r="H17" s="45"/>
      <c r="I17" s="45"/>
      <c r="J17" s="45"/>
      <c r="K17" s="45"/>
    </row>
    <row r="18" spans="2:11" ht="22" customHeight="1" x14ac:dyDescent="0.2">
      <c r="C18" s="46" t="s">
        <v>92</v>
      </c>
      <c r="D18" s="46"/>
      <c r="E18" s="4"/>
      <c r="F18" s="4"/>
      <c r="G18" s="45" t="s">
        <v>92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58</v>
      </c>
      <c r="D21" s="36"/>
      <c r="E21" s="36" t="s">
        <v>27</v>
      </c>
      <c r="F21" s="36"/>
      <c r="G21" s="19">
        <v>20</v>
      </c>
      <c r="H21" s="20">
        <v>20</v>
      </c>
      <c r="I21" s="44">
        <v>400</v>
      </c>
      <c r="J21" s="44"/>
    </row>
    <row r="22" spans="2:11" ht="22" customHeight="1" x14ac:dyDescent="0.2">
      <c r="B22" s="25">
        <v>2</v>
      </c>
      <c r="C22" s="36" t="s">
        <v>48</v>
      </c>
      <c r="D22" s="36"/>
      <c r="E22" s="36" t="s">
        <v>27</v>
      </c>
      <c r="F22" s="36"/>
      <c r="G22" s="19">
        <v>10</v>
      </c>
      <c r="H22" s="20">
        <v>16</v>
      </c>
      <c r="I22" s="37">
        <v>160</v>
      </c>
      <c r="J22" s="38"/>
    </row>
    <row r="23" spans="2:11" ht="22" customHeight="1" x14ac:dyDescent="0.2">
      <c r="B23" s="25">
        <v>3</v>
      </c>
      <c r="C23" s="36" t="s">
        <v>93</v>
      </c>
      <c r="D23" s="36"/>
      <c r="E23" s="36" t="s">
        <v>94</v>
      </c>
      <c r="F23" s="36"/>
      <c r="G23" s="19">
        <v>30</v>
      </c>
      <c r="H23" s="20">
        <v>9</v>
      </c>
      <c r="I23" s="37">
        <v>270</v>
      </c>
      <c r="J23" s="38"/>
    </row>
    <row r="24" spans="2:11" ht="22" customHeight="1" x14ac:dyDescent="0.2">
      <c r="B24" s="25">
        <v>4</v>
      </c>
      <c r="C24" s="36" t="s">
        <v>95</v>
      </c>
      <c r="D24" s="36"/>
      <c r="E24" s="36" t="s">
        <v>94</v>
      </c>
      <c r="F24" s="36"/>
      <c r="G24" s="19">
        <v>20</v>
      </c>
      <c r="H24" s="20">
        <v>6</v>
      </c>
      <c r="I24" s="37">
        <v>120</v>
      </c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950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950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950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</mergeCells>
  <pageMargins left="0.45" right="0.45" top="0.5" bottom="0.5" header="0.3" footer="0.3"/>
  <pageSetup scale="61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82C03-3EC8-3C4E-993D-B07146F7F45D}">
  <sheetPr codeName="Sheet10">
    <pageSetUpPr fitToPage="1"/>
  </sheetPr>
  <dimension ref="A1:M52"/>
  <sheetViews>
    <sheetView topLeftCell="B11" zoomScale="89" zoomScaleNormal="23" workbookViewId="0">
      <selection activeCell="D49" sqref="D49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45810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12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80</v>
      </c>
      <c r="D15" s="46"/>
      <c r="E15" s="4"/>
      <c r="F15" s="4"/>
      <c r="G15" s="46" t="s">
        <v>80</v>
      </c>
      <c r="H15" s="46"/>
      <c r="I15" s="46"/>
      <c r="J15" s="46"/>
      <c r="K15" s="46"/>
    </row>
    <row r="16" spans="1:13" ht="22" customHeight="1" x14ac:dyDescent="0.2">
      <c r="C16" s="45">
        <v>3142229482</v>
      </c>
      <c r="D16" s="45"/>
      <c r="E16" s="4"/>
      <c r="F16" s="4"/>
      <c r="G16" s="45">
        <v>3142229482</v>
      </c>
      <c r="H16" s="45"/>
      <c r="I16" s="45"/>
      <c r="J16" s="45"/>
      <c r="K16" s="16"/>
    </row>
    <row r="17" spans="2:11" ht="22" customHeight="1" x14ac:dyDescent="0.2">
      <c r="C17" s="45" t="s">
        <v>47</v>
      </c>
      <c r="D17" s="45"/>
      <c r="E17" s="16"/>
      <c r="F17" s="4"/>
      <c r="G17" s="45" t="s">
        <v>47</v>
      </c>
      <c r="H17" s="45"/>
      <c r="I17" s="45"/>
      <c r="J17" s="45"/>
      <c r="K17" s="45"/>
    </row>
    <row r="18" spans="2:11" ht="22" customHeight="1" x14ac:dyDescent="0.2">
      <c r="C18" s="46" t="s">
        <v>96</v>
      </c>
      <c r="D18" s="46"/>
      <c r="E18" s="4"/>
      <c r="F18" s="4"/>
      <c r="G18" s="45" t="s">
        <v>96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68</v>
      </c>
      <c r="D21" s="36"/>
      <c r="E21" s="36" t="s">
        <v>27</v>
      </c>
      <c r="F21" s="36"/>
      <c r="G21" s="19">
        <v>36</v>
      </c>
      <c r="H21" s="20">
        <v>12</v>
      </c>
      <c r="I21" s="44">
        <v>432</v>
      </c>
      <c r="J21" s="44"/>
    </row>
    <row r="22" spans="2:11" ht="22" customHeight="1" x14ac:dyDescent="0.2">
      <c r="B22" s="25">
        <v>2</v>
      </c>
      <c r="C22" s="36" t="s">
        <v>60</v>
      </c>
      <c r="D22" s="36"/>
      <c r="E22" s="36" t="s">
        <v>27</v>
      </c>
      <c r="F22" s="36"/>
      <c r="G22" s="19">
        <v>36</v>
      </c>
      <c r="H22" s="20">
        <v>12</v>
      </c>
      <c r="I22" s="37">
        <v>432</v>
      </c>
      <c r="J22" s="38"/>
    </row>
    <row r="23" spans="2:11" ht="22" customHeight="1" x14ac:dyDescent="0.2">
      <c r="B23" s="25">
        <v>3</v>
      </c>
      <c r="C23" s="36" t="s">
        <v>57</v>
      </c>
      <c r="D23" s="36"/>
      <c r="E23" s="36" t="s">
        <v>27</v>
      </c>
      <c r="F23" s="36"/>
      <c r="G23" s="19">
        <v>32</v>
      </c>
      <c r="H23" s="20">
        <v>20</v>
      </c>
      <c r="I23" s="37">
        <v>640</v>
      </c>
      <c r="J23" s="38"/>
    </row>
    <row r="24" spans="2:11" ht="22" customHeight="1" x14ac:dyDescent="0.2">
      <c r="B24" s="25">
        <v>4</v>
      </c>
      <c r="C24" s="36" t="s">
        <v>49</v>
      </c>
      <c r="D24" s="36"/>
      <c r="E24" s="36" t="s">
        <v>27</v>
      </c>
      <c r="F24" s="36"/>
      <c r="G24" s="19">
        <v>32</v>
      </c>
      <c r="H24" s="20">
        <v>20</v>
      </c>
      <c r="I24" s="37">
        <v>640</v>
      </c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2144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2144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2144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</mergeCells>
  <pageMargins left="0.45" right="0.45" top="0.5" bottom="0.5" header="0.3" footer="0.3"/>
  <pageSetup scale="61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1E3EC-6267-3B46-A5B5-BFDECBD769BD}">
  <sheetPr codeName="Sheet11">
    <pageSetUpPr fitToPage="1"/>
  </sheetPr>
  <dimension ref="A1:M52"/>
  <sheetViews>
    <sheetView zoomScale="63" zoomScaleNormal="90" workbookViewId="0">
      <selection activeCell="I48" sqref="I48:J48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45854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14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98</v>
      </c>
      <c r="D15" s="46"/>
      <c r="E15" s="4"/>
      <c r="F15" s="4"/>
      <c r="G15" s="46" t="s">
        <v>98</v>
      </c>
      <c r="H15" s="46"/>
      <c r="I15" s="46"/>
      <c r="J15" s="46"/>
      <c r="K15" s="46"/>
    </row>
    <row r="16" spans="1:13" ht="22" customHeight="1" x14ac:dyDescent="0.2">
      <c r="C16" s="45">
        <v>5403234890</v>
      </c>
      <c r="D16" s="45"/>
      <c r="E16" s="4"/>
      <c r="F16" s="4"/>
      <c r="G16" s="45">
        <v>5403234890</v>
      </c>
      <c r="H16" s="45"/>
      <c r="I16" s="45"/>
      <c r="J16" s="45"/>
      <c r="K16" s="16"/>
    </row>
    <row r="17" spans="2:11" ht="22" customHeight="1" x14ac:dyDescent="0.2">
      <c r="C17" s="45" t="s">
        <v>99</v>
      </c>
      <c r="D17" s="45"/>
      <c r="E17" s="16"/>
      <c r="F17" s="4"/>
      <c r="G17" s="45" t="s">
        <v>99</v>
      </c>
      <c r="H17" s="45"/>
      <c r="I17" s="45"/>
      <c r="J17" s="45"/>
      <c r="K17" s="45"/>
    </row>
    <row r="18" spans="2:11" ht="22" customHeight="1" x14ac:dyDescent="0.2">
      <c r="C18" s="46" t="s">
        <v>100</v>
      </c>
      <c r="D18" s="46"/>
      <c r="E18" s="4"/>
      <c r="F18" s="4"/>
      <c r="G18" s="45" t="s">
        <v>100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48</v>
      </c>
      <c r="D21" s="36"/>
      <c r="E21" s="36" t="s">
        <v>27</v>
      </c>
      <c r="F21" s="36"/>
      <c r="G21" s="19">
        <v>20</v>
      </c>
      <c r="H21" s="20">
        <v>15.99</v>
      </c>
      <c r="I21" s="44">
        <v>319.8</v>
      </c>
      <c r="J21" s="44"/>
    </row>
    <row r="22" spans="2:11" ht="22" customHeight="1" x14ac:dyDescent="0.2">
      <c r="B22" s="25">
        <v>2</v>
      </c>
      <c r="C22" s="36" t="s">
        <v>101</v>
      </c>
      <c r="D22" s="36"/>
      <c r="E22" s="36" t="s">
        <v>102</v>
      </c>
      <c r="F22" s="36"/>
      <c r="G22" s="19">
        <v>10</v>
      </c>
      <c r="H22" s="20">
        <v>20</v>
      </c>
      <c r="I22" s="37">
        <v>200</v>
      </c>
      <c r="J22" s="38"/>
    </row>
    <row r="23" spans="2:11" ht="22" customHeight="1" x14ac:dyDescent="0.2">
      <c r="B23" s="25"/>
      <c r="C23" s="36"/>
      <c r="D23" s="36"/>
      <c r="E23" s="36"/>
      <c r="F23" s="36"/>
      <c r="G23" s="19"/>
      <c r="H23" s="20"/>
      <c r="I23" s="37"/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519.79999999999995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519.79999999999995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72</v>
      </c>
      <c r="J48" s="43"/>
    </row>
    <row r="49" spans="1:11" ht="42" customHeight="1" x14ac:dyDescent="0.2">
      <c r="H49" s="13" t="s">
        <v>16</v>
      </c>
      <c r="I49" s="39">
        <v>591.79999999999995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  <mergeCell ref="C40:D40"/>
    <mergeCell ref="E40:F40"/>
    <mergeCell ref="I40:J40"/>
    <mergeCell ref="C41:D41"/>
    <mergeCell ref="E41:F41"/>
    <mergeCell ref="I41:J41"/>
    <mergeCell ref="C38:D38"/>
    <mergeCell ref="E38:F38"/>
    <mergeCell ref="I38:J38"/>
    <mergeCell ref="C39:D39"/>
    <mergeCell ref="E39:F39"/>
    <mergeCell ref="I39:J39"/>
    <mergeCell ref="C36:D36"/>
    <mergeCell ref="E36:F36"/>
    <mergeCell ref="I36:J36"/>
    <mergeCell ref="C37:D37"/>
    <mergeCell ref="E37:F37"/>
    <mergeCell ref="I37:J37"/>
    <mergeCell ref="C34:D34"/>
    <mergeCell ref="E34:F34"/>
    <mergeCell ref="I34:J34"/>
    <mergeCell ref="C35:D35"/>
    <mergeCell ref="E35:F35"/>
    <mergeCell ref="I35:J35"/>
    <mergeCell ref="C32:D32"/>
    <mergeCell ref="E32:F32"/>
    <mergeCell ref="I32:J32"/>
    <mergeCell ref="C33:D33"/>
    <mergeCell ref="E33:F33"/>
    <mergeCell ref="I33:J33"/>
    <mergeCell ref="C30:D30"/>
    <mergeCell ref="E30:F30"/>
    <mergeCell ref="I30:J30"/>
    <mergeCell ref="C31:D31"/>
    <mergeCell ref="E31:F31"/>
    <mergeCell ref="I31:J31"/>
    <mergeCell ref="C28:D28"/>
    <mergeCell ref="E28:F28"/>
    <mergeCell ref="I28:J28"/>
    <mergeCell ref="C29:D29"/>
    <mergeCell ref="E29:F29"/>
    <mergeCell ref="I29:J29"/>
    <mergeCell ref="C26:D26"/>
    <mergeCell ref="E26:F26"/>
    <mergeCell ref="I26:J26"/>
    <mergeCell ref="C27:D27"/>
    <mergeCell ref="E27:F27"/>
    <mergeCell ref="I27:J27"/>
    <mergeCell ref="C24:D24"/>
    <mergeCell ref="E24:F24"/>
    <mergeCell ref="I24:J24"/>
    <mergeCell ref="C25:D25"/>
    <mergeCell ref="E25:F25"/>
    <mergeCell ref="I25:J25"/>
    <mergeCell ref="C22:D22"/>
    <mergeCell ref="E22:F22"/>
    <mergeCell ref="I22:J22"/>
    <mergeCell ref="C23:D23"/>
    <mergeCell ref="E23:F23"/>
    <mergeCell ref="I23:J23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15:D15"/>
    <mergeCell ref="G15:K15"/>
    <mergeCell ref="H3:J5"/>
    <mergeCell ref="I7:J7"/>
    <mergeCell ref="I9:J9"/>
    <mergeCell ref="C14:D14"/>
    <mergeCell ref="G14:J14"/>
  </mergeCells>
  <pageMargins left="0.45" right="0.45" top="0.5" bottom="0.5" header="0.3" footer="0.3"/>
  <pageSetup scale="61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AA85F-ECAF-554A-A944-FBDD04CF69E8}">
  <sheetPr codeName="Sheet12">
    <pageSetUpPr fitToPage="1"/>
  </sheetPr>
  <dimension ref="A1:M52"/>
  <sheetViews>
    <sheetView zoomScale="63" zoomScaleNormal="90" workbookViewId="0">
      <selection activeCell="I48" sqref="I48:J48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45854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14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103</v>
      </c>
      <c r="D15" s="46"/>
      <c r="E15" s="4"/>
      <c r="F15" s="4"/>
      <c r="G15" s="46" t="s">
        <v>103</v>
      </c>
      <c r="H15" s="46"/>
      <c r="I15" s="46"/>
      <c r="J15" s="46"/>
      <c r="K15" s="46"/>
    </row>
    <row r="16" spans="1:13" ht="22" customHeight="1" x14ac:dyDescent="0.2">
      <c r="C16" s="45">
        <v>5403234890</v>
      </c>
      <c r="D16" s="45"/>
      <c r="E16" s="4"/>
      <c r="F16" s="4"/>
      <c r="G16" s="45">
        <v>5403234890</v>
      </c>
      <c r="H16" s="45"/>
      <c r="I16" s="45"/>
      <c r="J16" s="45"/>
      <c r="K16" s="16"/>
    </row>
    <row r="17" spans="2:11" ht="22" customHeight="1" x14ac:dyDescent="0.2">
      <c r="C17" s="45" t="s">
        <v>99</v>
      </c>
      <c r="D17" s="45"/>
      <c r="E17" s="16"/>
      <c r="F17" s="4"/>
      <c r="G17" s="45" t="s">
        <v>99</v>
      </c>
      <c r="H17" s="45"/>
      <c r="I17" s="45"/>
      <c r="J17" s="45"/>
      <c r="K17" s="45"/>
    </row>
    <row r="18" spans="2:11" ht="22" customHeight="1" x14ac:dyDescent="0.2">
      <c r="C18" s="46" t="s">
        <v>100</v>
      </c>
      <c r="D18" s="46"/>
      <c r="E18" s="4"/>
      <c r="F18" s="4"/>
      <c r="G18" s="45" t="s">
        <v>100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48</v>
      </c>
      <c r="D21" s="36"/>
      <c r="E21" s="36" t="s">
        <v>27</v>
      </c>
      <c r="F21" s="36"/>
      <c r="G21" s="19">
        <v>20</v>
      </c>
      <c r="H21" s="20">
        <v>15.99</v>
      </c>
      <c r="I21" s="44">
        <v>319.8</v>
      </c>
      <c r="J21" s="44"/>
    </row>
    <row r="22" spans="2:11" ht="22" customHeight="1" x14ac:dyDescent="0.2">
      <c r="B22" s="25">
        <v>2</v>
      </c>
      <c r="C22" s="36" t="s">
        <v>101</v>
      </c>
      <c r="D22" s="36"/>
      <c r="E22" s="36" t="s">
        <v>102</v>
      </c>
      <c r="F22" s="36"/>
      <c r="G22" s="19">
        <v>10</v>
      </c>
      <c r="H22" s="20">
        <v>20</v>
      </c>
      <c r="I22" s="37">
        <v>200</v>
      </c>
      <c r="J22" s="38"/>
    </row>
    <row r="23" spans="2:11" ht="22" customHeight="1" x14ac:dyDescent="0.2">
      <c r="B23" s="25"/>
      <c r="C23" s="36"/>
      <c r="D23" s="36"/>
      <c r="E23" s="36"/>
      <c r="F23" s="36"/>
      <c r="G23" s="19"/>
      <c r="H23" s="20"/>
      <c r="I23" s="37"/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519.79999999999995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519.79999999999995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72</v>
      </c>
      <c r="J48" s="43"/>
    </row>
    <row r="49" spans="1:11" ht="42" customHeight="1" x14ac:dyDescent="0.2">
      <c r="H49" s="13" t="s">
        <v>16</v>
      </c>
      <c r="I49" s="39">
        <v>591.79999999999995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  <mergeCell ref="C40:D40"/>
    <mergeCell ref="E40:F40"/>
    <mergeCell ref="I40:J40"/>
    <mergeCell ref="C41:D41"/>
    <mergeCell ref="E41:F41"/>
    <mergeCell ref="I41:J41"/>
    <mergeCell ref="C38:D38"/>
    <mergeCell ref="E38:F38"/>
    <mergeCell ref="I38:J38"/>
    <mergeCell ref="C39:D39"/>
    <mergeCell ref="E39:F39"/>
    <mergeCell ref="I39:J39"/>
    <mergeCell ref="C36:D36"/>
    <mergeCell ref="E36:F36"/>
    <mergeCell ref="I36:J36"/>
    <mergeCell ref="C37:D37"/>
    <mergeCell ref="E37:F37"/>
    <mergeCell ref="I37:J37"/>
    <mergeCell ref="C34:D34"/>
    <mergeCell ref="E34:F34"/>
    <mergeCell ref="I34:J34"/>
    <mergeCell ref="C35:D35"/>
    <mergeCell ref="E35:F35"/>
    <mergeCell ref="I35:J35"/>
    <mergeCell ref="C32:D32"/>
    <mergeCell ref="E32:F32"/>
    <mergeCell ref="I32:J32"/>
    <mergeCell ref="C33:D33"/>
    <mergeCell ref="E33:F33"/>
    <mergeCell ref="I33:J33"/>
    <mergeCell ref="C30:D30"/>
    <mergeCell ref="E30:F30"/>
    <mergeCell ref="I30:J30"/>
    <mergeCell ref="C31:D31"/>
    <mergeCell ref="E31:F31"/>
    <mergeCell ref="I31:J31"/>
    <mergeCell ref="C28:D28"/>
    <mergeCell ref="E28:F28"/>
    <mergeCell ref="I28:J28"/>
    <mergeCell ref="C29:D29"/>
    <mergeCell ref="E29:F29"/>
    <mergeCell ref="I29:J29"/>
    <mergeCell ref="C26:D26"/>
    <mergeCell ref="E26:F26"/>
    <mergeCell ref="I26:J26"/>
    <mergeCell ref="C27:D27"/>
    <mergeCell ref="E27:F27"/>
    <mergeCell ref="I27:J27"/>
    <mergeCell ref="C24:D24"/>
    <mergeCell ref="E24:F24"/>
    <mergeCell ref="I24:J24"/>
    <mergeCell ref="C25:D25"/>
    <mergeCell ref="E25:F25"/>
    <mergeCell ref="I25:J25"/>
    <mergeCell ref="C22:D22"/>
    <mergeCell ref="E22:F22"/>
    <mergeCell ref="I22:J22"/>
    <mergeCell ref="C23:D23"/>
    <mergeCell ref="E23:F23"/>
    <mergeCell ref="I23:J23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15:D15"/>
    <mergeCell ref="G15:K15"/>
    <mergeCell ref="H3:J5"/>
    <mergeCell ref="I7:J7"/>
    <mergeCell ref="I9:J9"/>
    <mergeCell ref="C14:D14"/>
    <mergeCell ref="G14:J14"/>
  </mergeCells>
  <pageMargins left="0.45" right="0.45" top="0.5" bottom="0.5" header="0.3" footer="0.3"/>
  <pageSetup scale="61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8850F-404D-FD4E-8CD6-9A62B08CEA34}">
  <sheetPr codeName="Sheet13">
    <pageSetUpPr fitToPage="1"/>
  </sheetPr>
  <dimension ref="A1:M52"/>
  <sheetViews>
    <sheetView zoomScale="63" zoomScaleNormal="90" workbookViewId="0">
      <selection activeCell="Y45" sqref="Y45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45854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15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80</v>
      </c>
      <c r="D15" s="46"/>
      <c r="E15" s="4"/>
      <c r="F15" s="4"/>
      <c r="G15" s="46" t="s">
        <v>80</v>
      </c>
      <c r="H15" s="46"/>
      <c r="I15" s="46"/>
      <c r="J15" s="46"/>
      <c r="K15" s="46"/>
    </row>
    <row r="16" spans="1:13" ht="22" customHeight="1" x14ac:dyDescent="0.2">
      <c r="C16" s="45">
        <v>3142229482</v>
      </c>
      <c r="D16" s="45"/>
      <c r="E16" s="4"/>
      <c r="F16" s="4"/>
      <c r="G16" s="45">
        <v>3142229482</v>
      </c>
      <c r="H16" s="45"/>
      <c r="I16" s="45"/>
      <c r="J16" s="45"/>
      <c r="K16" s="16"/>
    </row>
    <row r="17" spans="2:11" ht="22" customHeight="1" x14ac:dyDescent="0.2">
      <c r="C17" s="45" t="s">
        <v>47</v>
      </c>
      <c r="D17" s="45"/>
      <c r="E17" s="16"/>
      <c r="F17" s="4"/>
      <c r="G17" s="45" t="s">
        <v>47</v>
      </c>
      <c r="H17" s="45"/>
      <c r="I17" s="45"/>
      <c r="J17" s="45"/>
      <c r="K17" s="45"/>
    </row>
    <row r="18" spans="2:11" ht="22" customHeight="1" x14ac:dyDescent="0.2">
      <c r="C18" s="46" t="s">
        <v>96</v>
      </c>
      <c r="D18" s="46"/>
      <c r="E18" s="4"/>
      <c r="F18" s="4"/>
      <c r="G18" s="45" t="s">
        <v>96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101</v>
      </c>
      <c r="D21" s="36"/>
      <c r="E21" s="36" t="s">
        <v>102</v>
      </c>
      <c r="F21" s="36"/>
      <c r="G21" s="19">
        <v>100</v>
      </c>
      <c r="H21" s="20">
        <v>18.5</v>
      </c>
      <c r="I21" s="44">
        <v>1850</v>
      </c>
      <c r="J21" s="44"/>
    </row>
    <row r="22" spans="2:11" ht="22" customHeight="1" x14ac:dyDescent="0.2">
      <c r="B22" s="25">
        <v>2</v>
      </c>
      <c r="C22" s="36" t="s">
        <v>104</v>
      </c>
      <c r="D22" s="36"/>
      <c r="E22" s="36" t="s">
        <v>102</v>
      </c>
      <c r="F22" s="36"/>
      <c r="G22" s="19">
        <v>100</v>
      </c>
      <c r="H22" s="20">
        <v>13.5</v>
      </c>
      <c r="I22" s="37">
        <v>1350</v>
      </c>
      <c r="J22" s="38"/>
    </row>
    <row r="23" spans="2:11" ht="22" customHeight="1" x14ac:dyDescent="0.2">
      <c r="B23" s="25">
        <v>3</v>
      </c>
      <c r="C23" s="36" t="s">
        <v>105</v>
      </c>
      <c r="D23" s="36"/>
      <c r="E23" s="36" t="s">
        <v>102</v>
      </c>
      <c r="F23" s="36"/>
      <c r="G23" s="19">
        <v>1</v>
      </c>
      <c r="H23" s="20">
        <v>28</v>
      </c>
      <c r="I23" s="37">
        <v>28</v>
      </c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3228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3228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3228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  <mergeCell ref="C40:D40"/>
    <mergeCell ref="E40:F40"/>
    <mergeCell ref="I40:J40"/>
    <mergeCell ref="C41:D41"/>
    <mergeCell ref="E41:F41"/>
    <mergeCell ref="I41:J41"/>
    <mergeCell ref="C38:D38"/>
    <mergeCell ref="E38:F38"/>
    <mergeCell ref="I38:J38"/>
    <mergeCell ref="C39:D39"/>
    <mergeCell ref="E39:F39"/>
    <mergeCell ref="I39:J39"/>
    <mergeCell ref="C36:D36"/>
    <mergeCell ref="E36:F36"/>
    <mergeCell ref="I36:J36"/>
    <mergeCell ref="C37:D37"/>
    <mergeCell ref="E37:F37"/>
    <mergeCell ref="I37:J37"/>
    <mergeCell ref="C34:D34"/>
    <mergeCell ref="E34:F34"/>
    <mergeCell ref="I34:J34"/>
    <mergeCell ref="C35:D35"/>
    <mergeCell ref="E35:F35"/>
    <mergeCell ref="I35:J35"/>
    <mergeCell ref="C32:D32"/>
    <mergeCell ref="E32:F32"/>
    <mergeCell ref="I32:J32"/>
    <mergeCell ref="C33:D33"/>
    <mergeCell ref="E33:F33"/>
    <mergeCell ref="I33:J33"/>
    <mergeCell ref="C30:D30"/>
    <mergeCell ref="E30:F30"/>
    <mergeCell ref="I30:J30"/>
    <mergeCell ref="C31:D31"/>
    <mergeCell ref="E31:F31"/>
    <mergeCell ref="I31:J31"/>
    <mergeCell ref="C28:D28"/>
    <mergeCell ref="E28:F28"/>
    <mergeCell ref="I28:J28"/>
    <mergeCell ref="C29:D29"/>
    <mergeCell ref="E29:F29"/>
    <mergeCell ref="I29:J29"/>
    <mergeCell ref="C26:D26"/>
    <mergeCell ref="E26:F26"/>
    <mergeCell ref="I26:J26"/>
    <mergeCell ref="C27:D27"/>
    <mergeCell ref="E27:F27"/>
    <mergeCell ref="I27:J27"/>
    <mergeCell ref="C24:D24"/>
    <mergeCell ref="E24:F24"/>
    <mergeCell ref="I24:J24"/>
    <mergeCell ref="C25:D25"/>
    <mergeCell ref="E25:F25"/>
    <mergeCell ref="I25:J25"/>
    <mergeCell ref="C22:D22"/>
    <mergeCell ref="E22:F22"/>
    <mergeCell ref="I22:J22"/>
    <mergeCell ref="C23:D23"/>
    <mergeCell ref="E23:F23"/>
    <mergeCell ref="I23:J23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15:D15"/>
    <mergeCell ref="G15:K15"/>
    <mergeCell ref="H3:J5"/>
    <mergeCell ref="I7:J7"/>
    <mergeCell ref="I9:J9"/>
    <mergeCell ref="C14:D14"/>
    <mergeCell ref="G14:J14"/>
  </mergeCells>
  <pageMargins left="0.45" right="0.45" top="0.5" bottom="0.5" header="0.3" footer="0.3"/>
  <pageSetup scale="61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3119-202B-B247-8691-E62F4DEAB2CE}">
  <sheetPr codeName="Sheet14">
    <pageSetUpPr fitToPage="1"/>
  </sheetPr>
  <dimension ref="A1:M52"/>
  <sheetViews>
    <sheetView zoomScale="63" zoomScaleNormal="90" workbookViewId="0">
      <selection activeCell="I7" sqref="I7:J7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45859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16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82</v>
      </c>
      <c r="D15" s="46"/>
      <c r="E15" s="4"/>
      <c r="F15" s="4"/>
      <c r="G15" s="46" t="s">
        <v>82</v>
      </c>
      <c r="H15" s="46"/>
      <c r="I15" s="46"/>
      <c r="J15" s="46"/>
      <c r="K15" s="46"/>
    </row>
    <row r="16" spans="1:13" ht="22" customHeight="1" x14ac:dyDescent="0.2">
      <c r="C16" s="45">
        <v>3143519495</v>
      </c>
      <c r="D16" s="45"/>
      <c r="E16" s="4"/>
      <c r="F16" s="4"/>
      <c r="G16" s="45">
        <v>3143519495</v>
      </c>
      <c r="H16" s="45"/>
      <c r="I16" s="45"/>
      <c r="J16" s="45"/>
      <c r="K16" s="16"/>
    </row>
    <row r="17" spans="2:11" ht="22" customHeight="1" x14ac:dyDescent="0.2">
      <c r="C17" s="45" t="s">
        <v>83</v>
      </c>
      <c r="D17" s="45"/>
      <c r="E17" s="16"/>
      <c r="F17" s="4"/>
      <c r="G17" s="45" t="s">
        <v>83</v>
      </c>
      <c r="H17" s="45"/>
      <c r="I17" s="45"/>
      <c r="J17" s="45"/>
      <c r="K17" s="45"/>
    </row>
    <row r="18" spans="2:11" ht="22" customHeight="1" x14ac:dyDescent="0.2">
      <c r="C18" s="46" t="s">
        <v>89</v>
      </c>
      <c r="D18" s="46"/>
      <c r="E18" s="4"/>
      <c r="F18" s="4"/>
      <c r="G18" s="45" t="s">
        <v>89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101</v>
      </c>
      <c r="D21" s="36"/>
      <c r="E21" s="36" t="s">
        <v>102</v>
      </c>
      <c r="F21" s="36"/>
      <c r="G21" s="19">
        <v>5</v>
      </c>
      <c r="H21" s="20">
        <v>18.5</v>
      </c>
      <c r="I21" s="44">
        <v>92.5</v>
      </c>
      <c r="J21" s="44"/>
    </row>
    <row r="22" spans="2:11" ht="22" customHeight="1" x14ac:dyDescent="0.2">
      <c r="B22" s="25">
        <v>2</v>
      </c>
      <c r="C22" s="36" t="s">
        <v>104</v>
      </c>
      <c r="D22" s="36"/>
      <c r="E22" s="36" t="s">
        <v>102</v>
      </c>
      <c r="F22" s="36"/>
      <c r="G22" s="19">
        <v>10</v>
      </c>
      <c r="H22" s="20">
        <v>13.5</v>
      </c>
      <c r="I22" s="37">
        <v>135</v>
      </c>
      <c r="J22" s="38"/>
    </row>
    <row r="23" spans="2:11" ht="22" customHeight="1" x14ac:dyDescent="0.2">
      <c r="B23" s="25">
        <v>3</v>
      </c>
      <c r="C23" s="36" t="s">
        <v>106</v>
      </c>
      <c r="D23" s="36"/>
      <c r="E23" s="36" t="s">
        <v>27</v>
      </c>
      <c r="F23" s="36"/>
      <c r="G23" s="19">
        <v>16</v>
      </c>
      <c r="H23" s="20">
        <v>20</v>
      </c>
      <c r="I23" s="37">
        <v>320</v>
      </c>
      <c r="J23" s="38"/>
    </row>
    <row r="24" spans="2:11" ht="22" customHeight="1" x14ac:dyDescent="0.2">
      <c r="B24" s="25">
        <v>4</v>
      </c>
      <c r="C24" s="36" t="s">
        <v>57</v>
      </c>
      <c r="D24" s="36"/>
      <c r="E24" s="36" t="s">
        <v>27</v>
      </c>
      <c r="F24" s="36"/>
      <c r="G24" s="19">
        <v>16</v>
      </c>
      <c r="H24" s="20">
        <v>20</v>
      </c>
      <c r="I24" s="37">
        <v>320</v>
      </c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867.5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867.5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867.5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</mergeCells>
  <pageMargins left="0.45" right="0.45" top="0.5" bottom="0.5" header="0.3" footer="0.3"/>
  <pageSetup scale="61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A4066-46CC-CD44-A9BF-47DF5BD261D0}">
  <sheetPr codeName="Sheet15">
    <pageSetUpPr fitToPage="1"/>
  </sheetPr>
  <dimension ref="A1:M52"/>
  <sheetViews>
    <sheetView zoomScale="63" zoomScaleNormal="90" workbookViewId="0">
      <selection activeCell="C23" sqref="C23:D23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45866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17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80</v>
      </c>
      <c r="D15" s="46"/>
      <c r="E15" s="4"/>
      <c r="F15" s="4"/>
      <c r="G15" s="46" t="s">
        <v>80</v>
      </c>
      <c r="H15" s="46"/>
      <c r="I15" s="46"/>
      <c r="J15" s="46"/>
      <c r="K15" s="46"/>
    </row>
    <row r="16" spans="1:13" ht="22" customHeight="1" x14ac:dyDescent="0.2">
      <c r="C16" s="45">
        <v>3142229482</v>
      </c>
      <c r="D16" s="45"/>
      <c r="E16" s="4"/>
      <c r="F16" s="4"/>
      <c r="G16" s="45">
        <v>3142229482</v>
      </c>
      <c r="H16" s="45"/>
      <c r="I16" s="45"/>
      <c r="J16" s="45"/>
      <c r="K16" s="16"/>
    </row>
    <row r="17" spans="2:11" ht="22" customHeight="1" x14ac:dyDescent="0.2">
      <c r="C17" s="45" t="s">
        <v>47</v>
      </c>
      <c r="D17" s="45"/>
      <c r="E17" s="16"/>
      <c r="F17" s="4"/>
      <c r="G17" s="45" t="s">
        <v>47</v>
      </c>
      <c r="H17" s="45"/>
      <c r="I17" s="45"/>
      <c r="J17" s="45"/>
      <c r="K17" s="45"/>
    </row>
    <row r="18" spans="2:11" ht="22" customHeight="1" x14ac:dyDescent="0.2">
      <c r="C18" s="46" t="s">
        <v>96</v>
      </c>
      <c r="D18" s="46"/>
      <c r="E18" s="4"/>
      <c r="F18" s="4"/>
      <c r="G18" s="45" t="s">
        <v>96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48</v>
      </c>
      <c r="D21" s="36"/>
      <c r="E21" s="36" t="s">
        <v>27</v>
      </c>
      <c r="F21" s="36"/>
      <c r="G21" s="19">
        <v>16</v>
      </c>
      <c r="H21" s="20">
        <v>16</v>
      </c>
      <c r="I21" s="44">
        <v>256</v>
      </c>
      <c r="J21" s="44"/>
    </row>
    <row r="22" spans="2:11" ht="22" customHeight="1" x14ac:dyDescent="0.2">
      <c r="B22" s="25">
        <v>2</v>
      </c>
      <c r="C22" s="36" t="s">
        <v>108</v>
      </c>
      <c r="D22" s="36"/>
      <c r="E22" s="36" t="s">
        <v>102</v>
      </c>
      <c r="F22" s="36"/>
      <c r="G22" s="19">
        <v>-30</v>
      </c>
      <c r="H22" s="20">
        <v>18.5</v>
      </c>
      <c r="I22" s="37">
        <v>-555</v>
      </c>
      <c r="J22" s="38"/>
    </row>
    <row r="23" spans="2:11" ht="22" customHeight="1" x14ac:dyDescent="0.2">
      <c r="B23" s="25">
        <v>3</v>
      </c>
      <c r="C23" s="36" t="s">
        <v>107</v>
      </c>
      <c r="D23" s="36"/>
      <c r="E23" s="36" t="s">
        <v>102</v>
      </c>
      <c r="F23" s="36"/>
      <c r="G23" s="19">
        <v>80</v>
      </c>
      <c r="H23" s="20">
        <v>13</v>
      </c>
      <c r="I23" s="37">
        <v>1040</v>
      </c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741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741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741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  <mergeCell ref="C40:D40"/>
    <mergeCell ref="E40:F40"/>
    <mergeCell ref="I40:J40"/>
    <mergeCell ref="C41:D41"/>
    <mergeCell ref="E41:F41"/>
    <mergeCell ref="I41:J41"/>
    <mergeCell ref="C38:D38"/>
    <mergeCell ref="E38:F38"/>
    <mergeCell ref="I38:J38"/>
    <mergeCell ref="C39:D39"/>
    <mergeCell ref="E39:F39"/>
    <mergeCell ref="I39:J39"/>
    <mergeCell ref="C36:D36"/>
    <mergeCell ref="E36:F36"/>
    <mergeCell ref="I36:J36"/>
    <mergeCell ref="C37:D37"/>
    <mergeCell ref="E37:F37"/>
    <mergeCell ref="I37:J37"/>
    <mergeCell ref="C34:D34"/>
    <mergeCell ref="E34:F34"/>
    <mergeCell ref="I34:J34"/>
    <mergeCell ref="C35:D35"/>
    <mergeCell ref="E35:F35"/>
    <mergeCell ref="I35:J35"/>
    <mergeCell ref="C32:D32"/>
    <mergeCell ref="E32:F32"/>
    <mergeCell ref="I32:J32"/>
    <mergeCell ref="C33:D33"/>
    <mergeCell ref="E33:F33"/>
    <mergeCell ref="I33:J33"/>
    <mergeCell ref="C30:D30"/>
    <mergeCell ref="E30:F30"/>
    <mergeCell ref="I30:J30"/>
    <mergeCell ref="C31:D31"/>
    <mergeCell ref="E31:F31"/>
    <mergeCell ref="I31:J31"/>
    <mergeCell ref="C28:D28"/>
    <mergeCell ref="E28:F28"/>
    <mergeCell ref="I28:J28"/>
    <mergeCell ref="C29:D29"/>
    <mergeCell ref="E29:F29"/>
    <mergeCell ref="I29:J29"/>
    <mergeCell ref="C26:D26"/>
    <mergeCell ref="E26:F26"/>
    <mergeCell ref="I26:J26"/>
    <mergeCell ref="C27:D27"/>
    <mergeCell ref="E27:F27"/>
    <mergeCell ref="I27:J27"/>
    <mergeCell ref="C24:D24"/>
    <mergeCell ref="E24:F24"/>
    <mergeCell ref="I24:J24"/>
    <mergeCell ref="C25:D25"/>
    <mergeCell ref="E25:F25"/>
    <mergeCell ref="I25:J25"/>
    <mergeCell ref="C22:D22"/>
    <mergeCell ref="E22:F22"/>
    <mergeCell ref="I22:J22"/>
    <mergeCell ref="C23:D23"/>
    <mergeCell ref="E23:F23"/>
    <mergeCell ref="I23:J23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15:D15"/>
    <mergeCell ref="G15:K15"/>
    <mergeCell ref="H3:J5"/>
    <mergeCell ref="I7:J7"/>
    <mergeCell ref="I9:J9"/>
    <mergeCell ref="C14:D14"/>
    <mergeCell ref="G14:J14"/>
  </mergeCells>
  <pageMargins left="0.45" right="0.45" top="0.5" bottom="0.5" header="0.3" footer="0.3"/>
  <pageSetup scale="61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F9AA1-EECD-B147-A12D-F78891A0EE47}">
  <sheetPr codeName="Sheet16">
    <pageSetUpPr fitToPage="1"/>
  </sheetPr>
  <dimension ref="A1:M52"/>
  <sheetViews>
    <sheetView zoomScale="63" zoomScaleNormal="90" workbookViewId="0">
      <selection activeCell="G26" sqref="G26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45888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20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119</v>
      </c>
      <c r="D15" s="46"/>
      <c r="E15" s="4"/>
      <c r="F15" s="4"/>
      <c r="G15" s="46" t="s">
        <v>119</v>
      </c>
      <c r="H15" s="46"/>
      <c r="I15" s="46"/>
      <c r="J15" s="46"/>
      <c r="K15" s="46"/>
    </row>
    <row r="16" spans="1:13" ht="22" customHeight="1" x14ac:dyDescent="0.2">
      <c r="C16" s="45">
        <v>3144058000</v>
      </c>
      <c r="D16" s="45"/>
      <c r="E16" s="4"/>
      <c r="F16" s="4"/>
      <c r="G16" s="45">
        <v>3144058000</v>
      </c>
      <c r="H16" s="45"/>
      <c r="I16" s="45"/>
      <c r="J16" s="45"/>
      <c r="K16" s="16"/>
    </row>
    <row r="17" spans="2:11" ht="22" customHeight="1" x14ac:dyDescent="0.2">
      <c r="C17" s="45" t="s">
        <v>109</v>
      </c>
      <c r="D17" s="45"/>
      <c r="E17" s="16"/>
      <c r="F17" s="4"/>
      <c r="G17" s="45" t="s">
        <v>109</v>
      </c>
      <c r="H17" s="45"/>
      <c r="I17" s="45"/>
      <c r="J17" s="45"/>
      <c r="K17" s="45"/>
    </row>
    <row r="18" spans="2:11" ht="22" customHeight="1" x14ac:dyDescent="0.2">
      <c r="C18" s="46" t="s">
        <v>110</v>
      </c>
      <c r="D18" s="46"/>
      <c r="E18" s="4"/>
      <c r="F18" s="4"/>
      <c r="G18" s="45" t="s">
        <v>110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101</v>
      </c>
      <c r="D21" s="36"/>
      <c r="E21" s="36" t="s">
        <v>102</v>
      </c>
      <c r="F21" s="36"/>
      <c r="G21" s="19">
        <v>112</v>
      </c>
      <c r="H21" s="20">
        <v>17</v>
      </c>
      <c r="I21" s="44">
        <f>H21*G21</f>
        <v>1904</v>
      </c>
      <c r="J21" s="44"/>
    </row>
    <row r="22" spans="2:11" ht="22" customHeight="1" x14ac:dyDescent="0.2">
      <c r="B22" s="25">
        <v>2</v>
      </c>
      <c r="C22" s="36" t="s">
        <v>107</v>
      </c>
      <c r="D22" s="36"/>
      <c r="E22" s="36" t="s">
        <v>102</v>
      </c>
      <c r="F22" s="36"/>
      <c r="G22" s="19">
        <v>143</v>
      </c>
      <c r="H22" s="20">
        <v>15</v>
      </c>
      <c r="I22" s="44">
        <f t="shared" ref="I22:I27" si="0">H22*G22</f>
        <v>2145</v>
      </c>
      <c r="J22" s="44"/>
    </row>
    <row r="23" spans="2:11" ht="22" customHeight="1" x14ac:dyDescent="0.2">
      <c r="B23" s="25">
        <v>3</v>
      </c>
      <c r="C23" s="36" t="s">
        <v>105</v>
      </c>
      <c r="D23" s="36"/>
      <c r="E23" s="36" t="s">
        <v>102</v>
      </c>
      <c r="F23" s="36"/>
      <c r="G23" s="19">
        <v>50</v>
      </c>
      <c r="H23" s="20">
        <v>30</v>
      </c>
      <c r="I23" s="44">
        <f t="shared" si="0"/>
        <v>1500</v>
      </c>
      <c r="J23" s="44"/>
    </row>
    <row r="24" spans="2:11" ht="22" customHeight="1" x14ac:dyDescent="0.2">
      <c r="B24" s="25">
        <v>4</v>
      </c>
      <c r="C24" s="36" t="s">
        <v>111</v>
      </c>
      <c r="D24" s="36"/>
      <c r="E24" s="36" t="s">
        <v>102</v>
      </c>
      <c r="F24" s="36"/>
      <c r="G24" s="19">
        <v>20</v>
      </c>
      <c r="H24" s="20">
        <v>25</v>
      </c>
      <c r="I24" s="44">
        <f t="shared" si="0"/>
        <v>500</v>
      </c>
      <c r="J24" s="44"/>
    </row>
    <row r="25" spans="2:11" ht="22" customHeight="1" x14ac:dyDescent="0.2">
      <c r="B25" s="25">
        <v>5</v>
      </c>
      <c r="C25" s="36" t="s">
        <v>112</v>
      </c>
      <c r="D25" s="36"/>
      <c r="E25" s="36" t="s">
        <v>102</v>
      </c>
      <c r="F25" s="36"/>
      <c r="G25" s="19">
        <v>10</v>
      </c>
      <c r="H25" s="20">
        <v>17.5</v>
      </c>
      <c r="I25" s="44">
        <f t="shared" si="0"/>
        <v>175</v>
      </c>
      <c r="J25" s="44"/>
    </row>
    <row r="26" spans="2:11" ht="22" customHeight="1" x14ac:dyDescent="0.2">
      <c r="B26" s="25">
        <v>6</v>
      </c>
      <c r="C26" s="36" t="s">
        <v>113</v>
      </c>
      <c r="D26" s="36"/>
      <c r="E26" s="36" t="s">
        <v>27</v>
      </c>
      <c r="F26" s="36"/>
      <c r="G26" s="19">
        <v>10</v>
      </c>
      <c r="H26" s="20">
        <v>20</v>
      </c>
      <c r="I26" s="44">
        <f t="shared" si="0"/>
        <v>200</v>
      </c>
      <c r="J26" s="44"/>
    </row>
    <row r="27" spans="2:11" ht="22" customHeight="1" x14ac:dyDescent="0.2">
      <c r="B27" s="25">
        <v>7</v>
      </c>
      <c r="C27" s="36" t="s">
        <v>114</v>
      </c>
      <c r="D27" s="36"/>
      <c r="E27" s="36" t="s">
        <v>27</v>
      </c>
      <c r="F27" s="36"/>
      <c r="G27" s="19">
        <v>6</v>
      </c>
      <c r="H27" s="20">
        <v>12</v>
      </c>
      <c r="I27" s="44">
        <f t="shared" si="0"/>
        <v>72</v>
      </c>
      <c r="J27" s="44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6496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6496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6496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</mergeCells>
  <pageMargins left="0.45" right="0.45" top="0.5" bottom="0.5" header="0.3" footer="0.3"/>
  <pageSetup scale="61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98F16-6137-BC4A-AFD7-FFC9543D914B}">
  <sheetPr codeName="Sheet17">
    <pageSetUpPr fitToPage="1"/>
  </sheetPr>
  <dimension ref="A1:M52"/>
  <sheetViews>
    <sheetView zoomScale="63" zoomScaleNormal="90" workbookViewId="0">
      <selection activeCell="T41" sqref="T41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45888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19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115</v>
      </c>
      <c r="D15" s="46"/>
      <c r="E15" s="4"/>
      <c r="F15" s="4"/>
      <c r="G15" s="46" t="s">
        <v>115</v>
      </c>
      <c r="H15" s="46"/>
      <c r="I15" s="46"/>
      <c r="J15" s="46"/>
      <c r="K15" s="46"/>
    </row>
    <row r="16" spans="1:13" ht="22" customHeight="1" x14ac:dyDescent="0.2">
      <c r="C16" s="45">
        <v>3145422005</v>
      </c>
      <c r="D16" s="45"/>
      <c r="E16" s="4"/>
      <c r="F16" s="4"/>
      <c r="G16" s="45">
        <v>3145422005</v>
      </c>
      <c r="H16" s="45"/>
      <c r="I16" s="45"/>
      <c r="J16" s="45"/>
      <c r="K16" s="16"/>
    </row>
    <row r="17" spans="2:11" ht="22" customHeight="1" x14ac:dyDescent="0.2">
      <c r="C17" s="45" t="s">
        <v>116</v>
      </c>
      <c r="D17" s="45"/>
      <c r="E17" s="16"/>
      <c r="F17" s="4"/>
      <c r="G17" s="45" t="s">
        <v>116</v>
      </c>
      <c r="H17" s="45"/>
      <c r="I17" s="45"/>
      <c r="J17" s="45"/>
      <c r="K17" s="45"/>
    </row>
    <row r="18" spans="2:11" ht="22" customHeight="1" x14ac:dyDescent="0.2">
      <c r="C18" s="46" t="s">
        <v>117</v>
      </c>
      <c r="D18" s="46"/>
      <c r="E18" s="4"/>
      <c r="F18" s="4"/>
      <c r="G18" s="45" t="s">
        <v>117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101</v>
      </c>
      <c r="D21" s="36"/>
      <c r="E21" s="36" t="s">
        <v>102</v>
      </c>
      <c r="F21" s="36"/>
      <c r="G21" s="19">
        <v>5</v>
      </c>
      <c r="H21" s="20">
        <v>23</v>
      </c>
      <c r="I21" s="44">
        <v>115</v>
      </c>
      <c r="J21" s="44"/>
    </row>
    <row r="22" spans="2:11" ht="22" customHeight="1" x14ac:dyDescent="0.2">
      <c r="B22" s="25">
        <v>2</v>
      </c>
      <c r="C22" s="36" t="s">
        <v>104</v>
      </c>
      <c r="D22" s="36"/>
      <c r="E22" s="36" t="s">
        <v>102</v>
      </c>
      <c r="F22" s="36"/>
      <c r="G22" s="19">
        <v>4</v>
      </c>
      <c r="H22" s="20">
        <v>16.5</v>
      </c>
      <c r="I22" s="37">
        <v>66</v>
      </c>
      <c r="J22" s="38"/>
    </row>
    <row r="23" spans="2:11" ht="22" customHeight="1" x14ac:dyDescent="0.2">
      <c r="B23" s="25">
        <v>3</v>
      </c>
      <c r="C23" s="36" t="s">
        <v>105</v>
      </c>
      <c r="D23" s="36"/>
      <c r="E23" s="36" t="s">
        <v>102</v>
      </c>
      <c r="F23" s="36"/>
      <c r="G23" s="19">
        <v>5</v>
      </c>
      <c r="H23" s="20">
        <v>34.5</v>
      </c>
      <c r="I23" s="37">
        <v>172.5</v>
      </c>
      <c r="J23" s="38"/>
    </row>
    <row r="24" spans="2:11" ht="22" customHeight="1" x14ac:dyDescent="0.2">
      <c r="B24" s="25">
        <v>4</v>
      </c>
      <c r="C24" s="36" t="s">
        <v>118</v>
      </c>
      <c r="D24" s="36"/>
      <c r="E24" s="36" t="s">
        <v>102</v>
      </c>
      <c r="F24" s="36"/>
      <c r="G24" s="19">
        <v>2</v>
      </c>
      <c r="H24" s="20">
        <v>35</v>
      </c>
      <c r="I24" s="37">
        <v>70</v>
      </c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423.5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423.5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423.5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</mergeCells>
  <pageMargins left="0.45" right="0.45" top="0.5" bottom="0.5" header="0.3" footer="0.3"/>
  <pageSetup scale="61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C004A-140B-504F-ABB5-B160EA1BC919}">
  <sheetPr codeName="Sheet18">
    <pageSetUpPr fitToPage="1"/>
  </sheetPr>
  <dimension ref="A1:M52"/>
  <sheetViews>
    <sheetView zoomScale="63" zoomScaleNormal="90" workbookViewId="0">
      <selection activeCell="M21" sqref="M21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45888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20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119</v>
      </c>
      <c r="D15" s="46"/>
      <c r="E15" s="4"/>
      <c r="F15" s="4"/>
      <c r="G15" s="46" t="s">
        <v>119</v>
      </c>
      <c r="H15" s="46"/>
      <c r="I15" s="46"/>
      <c r="J15" s="46"/>
      <c r="K15" s="46"/>
    </row>
    <row r="16" spans="1:13" ht="22" customHeight="1" x14ac:dyDescent="0.2">
      <c r="C16" s="45">
        <v>3144058000</v>
      </c>
      <c r="D16" s="45"/>
      <c r="E16" s="4"/>
      <c r="F16" s="4"/>
      <c r="G16" s="45">
        <v>3144058000</v>
      </c>
      <c r="H16" s="45"/>
      <c r="I16" s="45"/>
      <c r="J16" s="45"/>
      <c r="K16" s="16"/>
    </row>
    <row r="17" spans="2:11" ht="22" customHeight="1" x14ac:dyDescent="0.2">
      <c r="C17" s="45" t="s">
        <v>109</v>
      </c>
      <c r="D17" s="45"/>
      <c r="E17" s="16"/>
      <c r="F17" s="4"/>
      <c r="G17" s="45" t="s">
        <v>109</v>
      </c>
      <c r="H17" s="45"/>
      <c r="I17" s="45"/>
      <c r="J17" s="45"/>
      <c r="K17" s="45"/>
    </row>
    <row r="18" spans="2:11" ht="22" customHeight="1" x14ac:dyDescent="0.2">
      <c r="C18" s="46" t="s">
        <v>110</v>
      </c>
      <c r="D18" s="46"/>
      <c r="E18" s="4"/>
      <c r="F18" s="4"/>
      <c r="G18" s="45" t="s">
        <v>110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101</v>
      </c>
      <c r="D21" s="36"/>
      <c r="E21" s="36" t="s">
        <v>102</v>
      </c>
      <c r="F21" s="36"/>
      <c r="G21" s="19">
        <v>112</v>
      </c>
      <c r="H21" s="20">
        <v>17</v>
      </c>
      <c r="I21" s="44">
        <v>1904</v>
      </c>
      <c r="J21" s="44"/>
    </row>
    <row r="22" spans="2:11" ht="22" customHeight="1" x14ac:dyDescent="0.2">
      <c r="B22" s="25">
        <v>2</v>
      </c>
      <c r="C22" s="36" t="s">
        <v>107</v>
      </c>
      <c r="D22" s="36"/>
      <c r="E22" s="36" t="s">
        <v>102</v>
      </c>
      <c r="F22" s="36"/>
      <c r="G22" s="19">
        <v>143</v>
      </c>
      <c r="H22" s="20">
        <v>15</v>
      </c>
      <c r="I22" s="37">
        <v>2145</v>
      </c>
      <c r="J22" s="38"/>
    </row>
    <row r="23" spans="2:11" ht="22" customHeight="1" x14ac:dyDescent="0.2">
      <c r="B23" s="25">
        <v>3</v>
      </c>
      <c r="C23" s="36" t="s">
        <v>105</v>
      </c>
      <c r="D23" s="36"/>
      <c r="E23" s="36" t="s">
        <v>102</v>
      </c>
      <c r="F23" s="36"/>
      <c r="G23" s="19">
        <v>50</v>
      </c>
      <c r="H23" s="20">
        <v>28</v>
      </c>
      <c r="I23" s="37">
        <v>1400</v>
      </c>
      <c r="J23" s="38"/>
    </row>
    <row r="24" spans="2:11" ht="22" customHeight="1" x14ac:dyDescent="0.2">
      <c r="B24" s="25">
        <v>4</v>
      </c>
      <c r="C24" s="36" t="s">
        <v>111</v>
      </c>
      <c r="D24" s="36"/>
      <c r="E24" s="36" t="s">
        <v>102</v>
      </c>
      <c r="F24" s="36"/>
      <c r="G24" s="19">
        <v>20</v>
      </c>
      <c r="H24" s="20">
        <v>25</v>
      </c>
      <c r="I24" s="37">
        <v>500</v>
      </c>
      <c r="J24" s="38"/>
    </row>
    <row r="25" spans="2:11" ht="22" customHeight="1" x14ac:dyDescent="0.2">
      <c r="B25" s="25">
        <v>5</v>
      </c>
      <c r="C25" s="36" t="s">
        <v>112</v>
      </c>
      <c r="D25" s="36"/>
      <c r="E25" s="36" t="s">
        <v>102</v>
      </c>
      <c r="F25" s="36"/>
      <c r="G25" s="19">
        <v>10</v>
      </c>
      <c r="H25" s="20">
        <v>17.5</v>
      </c>
      <c r="I25" s="37">
        <v>175</v>
      </c>
      <c r="J25" s="38"/>
    </row>
    <row r="26" spans="2:11" ht="22" customHeight="1" x14ac:dyDescent="0.2">
      <c r="B26" s="25">
        <v>6</v>
      </c>
      <c r="C26" s="36" t="s">
        <v>113</v>
      </c>
      <c r="D26" s="36"/>
      <c r="E26" s="36" t="s">
        <v>27</v>
      </c>
      <c r="F26" s="36"/>
      <c r="G26" s="19">
        <v>160</v>
      </c>
      <c r="H26" s="20">
        <v>20</v>
      </c>
      <c r="I26" s="37">
        <v>3200</v>
      </c>
      <c r="J26" s="38"/>
    </row>
    <row r="27" spans="2:11" ht="22" customHeight="1" x14ac:dyDescent="0.2">
      <c r="B27" s="25">
        <v>7</v>
      </c>
      <c r="C27" s="36" t="s">
        <v>114</v>
      </c>
      <c r="D27" s="36"/>
      <c r="E27" s="36" t="s">
        <v>27</v>
      </c>
      <c r="F27" s="36"/>
      <c r="G27" s="19">
        <v>216</v>
      </c>
      <c r="H27" s="20">
        <v>12</v>
      </c>
      <c r="I27" s="37">
        <v>2592</v>
      </c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11916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11916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11916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  <mergeCell ref="C40:D40"/>
    <mergeCell ref="E40:F40"/>
    <mergeCell ref="I40:J40"/>
    <mergeCell ref="C41:D41"/>
    <mergeCell ref="E41:F41"/>
    <mergeCell ref="I41:J41"/>
    <mergeCell ref="C38:D38"/>
    <mergeCell ref="E38:F38"/>
    <mergeCell ref="I38:J38"/>
    <mergeCell ref="C39:D39"/>
    <mergeCell ref="E39:F39"/>
    <mergeCell ref="I39:J39"/>
    <mergeCell ref="C36:D36"/>
    <mergeCell ref="E36:F36"/>
    <mergeCell ref="I36:J36"/>
    <mergeCell ref="C37:D37"/>
    <mergeCell ref="E37:F37"/>
    <mergeCell ref="I37:J37"/>
    <mergeCell ref="C34:D34"/>
    <mergeCell ref="E34:F34"/>
    <mergeCell ref="I34:J34"/>
    <mergeCell ref="C35:D35"/>
    <mergeCell ref="E35:F35"/>
    <mergeCell ref="I35:J35"/>
    <mergeCell ref="C32:D32"/>
    <mergeCell ref="E32:F32"/>
    <mergeCell ref="I32:J32"/>
    <mergeCell ref="C33:D33"/>
    <mergeCell ref="E33:F33"/>
    <mergeCell ref="I33:J33"/>
    <mergeCell ref="C30:D30"/>
    <mergeCell ref="E30:F30"/>
    <mergeCell ref="I30:J30"/>
    <mergeCell ref="C31:D31"/>
    <mergeCell ref="E31:F31"/>
    <mergeCell ref="I31:J31"/>
    <mergeCell ref="C28:D28"/>
    <mergeCell ref="E28:F28"/>
    <mergeCell ref="I28:J28"/>
    <mergeCell ref="C29:D29"/>
    <mergeCell ref="E29:F29"/>
    <mergeCell ref="I29:J29"/>
    <mergeCell ref="C26:D26"/>
    <mergeCell ref="E26:F26"/>
    <mergeCell ref="I26:J26"/>
    <mergeCell ref="C27:D27"/>
    <mergeCell ref="E27:F27"/>
    <mergeCell ref="I27:J27"/>
    <mergeCell ref="C24:D24"/>
    <mergeCell ref="E24:F24"/>
    <mergeCell ref="I24:J24"/>
    <mergeCell ref="C25:D25"/>
    <mergeCell ref="E25:F25"/>
    <mergeCell ref="I25:J25"/>
    <mergeCell ref="C22:D22"/>
    <mergeCell ref="E22:F22"/>
    <mergeCell ref="I22:J22"/>
    <mergeCell ref="C23:D23"/>
    <mergeCell ref="E23:F23"/>
    <mergeCell ref="I23:J23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15:D15"/>
    <mergeCell ref="G15:K15"/>
    <mergeCell ref="H3:J5"/>
    <mergeCell ref="I7:J7"/>
    <mergeCell ref="I9:J9"/>
    <mergeCell ref="C14:D14"/>
    <mergeCell ref="G14:J14"/>
  </mergeCells>
  <pageMargins left="0.45" right="0.45" top="0.5" bottom="0.5" header="0.3" footer="0.3"/>
  <pageSetup scale="61" orientation="portrait" horizontalDpi="0" verticalDpi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FDDEF-F10A-914F-A937-10BED5AF2EFC}">
  <sheetPr codeName="Sheet19">
    <pageSetUpPr fitToPage="1"/>
  </sheetPr>
  <dimension ref="A1:M53"/>
  <sheetViews>
    <sheetView topLeftCell="A6" zoomScale="90" zoomScaleNormal="90" workbookViewId="0">
      <selection activeCell="A36" sqref="A36:XFD36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45899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/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82</v>
      </c>
      <c r="D15" s="46"/>
      <c r="E15" s="4"/>
      <c r="F15" s="4"/>
      <c r="G15" s="46" t="s">
        <v>82</v>
      </c>
      <c r="H15" s="46"/>
      <c r="I15" s="46"/>
      <c r="J15" s="46"/>
      <c r="K15" s="46"/>
    </row>
    <row r="16" spans="1:13" ht="22" customHeight="1" x14ac:dyDescent="0.2">
      <c r="C16" s="46" t="s">
        <v>83</v>
      </c>
      <c r="D16" s="46"/>
      <c r="E16" s="4"/>
      <c r="F16" s="4"/>
      <c r="G16" s="46" t="s">
        <v>83</v>
      </c>
      <c r="H16" s="46"/>
      <c r="I16" s="46"/>
      <c r="J16" s="46"/>
      <c r="K16" s="46"/>
    </row>
    <row r="17" spans="2:11" ht="22" customHeight="1" x14ac:dyDescent="0.2">
      <c r="C17" s="45" t="s">
        <v>84</v>
      </c>
      <c r="D17" s="45"/>
      <c r="E17" s="16"/>
      <c r="F17" s="4"/>
      <c r="G17" s="45" t="s">
        <v>84</v>
      </c>
      <c r="H17" s="45"/>
      <c r="I17" s="45"/>
      <c r="J17" s="45"/>
      <c r="K17" s="45"/>
    </row>
    <row r="18" spans="2:11" ht="22" customHeight="1" x14ac:dyDescent="0.2">
      <c r="C18" s="46"/>
      <c r="D18" s="46"/>
      <c r="E18" s="4"/>
      <c r="F18" s="4"/>
      <c r="G18" s="45"/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s="2" customFormat="1" ht="22" customHeight="1" x14ac:dyDescent="0.2">
      <c r="B21" s="62" t="s">
        <v>120</v>
      </c>
      <c r="C21" s="67"/>
      <c r="D21" s="67"/>
      <c r="E21" s="67"/>
      <c r="F21" s="67"/>
      <c r="G21" s="67"/>
      <c r="H21" s="67"/>
      <c r="I21" s="67"/>
      <c r="J21" s="63"/>
    </row>
    <row r="22" spans="2:11" ht="22" customHeight="1" x14ac:dyDescent="0.2">
      <c r="B22" s="25">
        <v>1</v>
      </c>
      <c r="C22" s="36" t="s">
        <v>57</v>
      </c>
      <c r="D22" s="36"/>
      <c r="E22" s="36" t="s">
        <v>27</v>
      </c>
      <c r="F22" s="36"/>
      <c r="G22" s="19">
        <v>15</v>
      </c>
      <c r="H22" s="20">
        <v>20</v>
      </c>
      <c r="I22" s="44">
        <v>300</v>
      </c>
      <c r="J22" s="44"/>
    </row>
    <row r="23" spans="2:11" ht="22" customHeight="1" x14ac:dyDescent="0.2">
      <c r="B23" s="25">
        <v>2</v>
      </c>
      <c r="C23" s="36" t="s">
        <v>52</v>
      </c>
      <c r="D23" s="36"/>
      <c r="E23" s="36" t="s">
        <v>27</v>
      </c>
      <c r="F23" s="36"/>
      <c r="G23" s="19">
        <v>15</v>
      </c>
      <c r="H23" s="20">
        <v>20</v>
      </c>
      <c r="I23" s="44">
        <v>300</v>
      </c>
      <c r="J23" s="44"/>
    </row>
    <row r="24" spans="2:11" ht="22" customHeight="1" x14ac:dyDescent="0.2">
      <c r="B24" s="25">
        <v>3</v>
      </c>
      <c r="C24" s="36" t="s">
        <v>54</v>
      </c>
      <c r="D24" s="36"/>
      <c r="E24" s="36" t="s">
        <v>27</v>
      </c>
      <c r="F24" s="36"/>
      <c r="G24" s="19">
        <v>15</v>
      </c>
      <c r="H24" s="20">
        <v>20</v>
      </c>
      <c r="I24" s="44">
        <v>300</v>
      </c>
      <c r="J24" s="44"/>
    </row>
    <row r="25" spans="2:11" ht="22" customHeight="1" x14ac:dyDescent="0.2">
      <c r="B25" s="25">
        <v>4</v>
      </c>
      <c r="C25" s="36" t="s">
        <v>48</v>
      </c>
      <c r="D25" s="36"/>
      <c r="E25" s="36" t="s">
        <v>27</v>
      </c>
      <c r="F25" s="36"/>
      <c r="G25" s="19">
        <v>19</v>
      </c>
      <c r="H25" s="20">
        <v>16</v>
      </c>
      <c r="I25" s="44">
        <v>288</v>
      </c>
      <c r="J25" s="44"/>
    </row>
    <row r="26" spans="2:11" ht="22" customHeight="1" x14ac:dyDescent="0.2">
      <c r="B26" s="25">
        <v>5</v>
      </c>
      <c r="C26" s="36" t="s">
        <v>50</v>
      </c>
      <c r="D26" s="36"/>
      <c r="E26" s="36" t="s">
        <v>27</v>
      </c>
      <c r="F26" s="36"/>
      <c r="G26" s="19">
        <v>15</v>
      </c>
      <c r="H26" s="20">
        <v>20</v>
      </c>
      <c r="I26" s="44">
        <v>300</v>
      </c>
      <c r="J26" s="44"/>
    </row>
    <row r="27" spans="2:11" ht="22" customHeight="1" x14ac:dyDescent="0.2">
      <c r="B27" s="25">
        <v>6</v>
      </c>
      <c r="C27" s="36" t="s">
        <v>59</v>
      </c>
      <c r="D27" s="36"/>
      <c r="E27" s="36" t="s">
        <v>27</v>
      </c>
      <c r="F27" s="36"/>
      <c r="G27" s="19">
        <v>35</v>
      </c>
      <c r="H27" s="20">
        <v>7</v>
      </c>
      <c r="I27" s="44">
        <v>245</v>
      </c>
      <c r="J27" s="44"/>
    </row>
    <row r="28" spans="2:11" ht="22" customHeight="1" x14ac:dyDescent="0.2">
      <c r="B28" s="58" t="s">
        <v>121</v>
      </c>
      <c r="C28" s="58"/>
      <c r="D28" s="58"/>
      <c r="E28" s="58"/>
      <c r="F28" s="58"/>
      <c r="G28" s="58"/>
      <c r="H28" s="58"/>
      <c r="I28" s="58"/>
      <c r="J28" s="58"/>
    </row>
    <row r="29" spans="2:11" ht="22" customHeight="1" x14ac:dyDescent="0.2">
      <c r="B29" s="25">
        <v>7</v>
      </c>
      <c r="C29" s="36" t="s">
        <v>24</v>
      </c>
      <c r="D29" s="36"/>
      <c r="E29" s="58" t="s">
        <v>27</v>
      </c>
      <c r="F29" s="58"/>
      <c r="G29" s="19">
        <v>16</v>
      </c>
      <c r="H29" s="20">
        <v>18.989999999999998</v>
      </c>
      <c r="I29" s="44">
        <f>H29*G29</f>
        <v>303.83999999999997</v>
      </c>
      <c r="J29" s="44"/>
    </row>
    <row r="30" spans="2:11" ht="22" customHeight="1" x14ac:dyDescent="0.2">
      <c r="B30" s="25">
        <v>8</v>
      </c>
      <c r="C30" s="36" t="s">
        <v>25</v>
      </c>
      <c r="D30" s="36"/>
      <c r="E30" s="58" t="s">
        <v>27</v>
      </c>
      <c r="F30" s="58"/>
      <c r="G30" s="19">
        <v>36</v>
      </c>
      <c r="H30" s="20">
        <v>7.49</v>
      </c>
      <c r="I30" s="44">
        <f t="shared" ref="I30" si="0">H30*G30</f>
        <v>269.64</v>
      </c>
      <c r="J30" s="44"/>
    </row>
    <row r="31" spans="2:11" ht="22" customHeight="1" x14ac:dyDescent="0.2">
      <c r="B31" s="58" t="s">
        <v>122</v>
      </c>
      <c r="C31" s="58"/>
      <c r="D31" s="58"/>
      <c r="E31" s="58"/>
      <c r="F31" s="58"/>
      <c r="G31" s="58"/>
      <c r="H31" s="58"/>
      <c r="I31" s="58"/>
      <c r="J31" s="58"/>
    </row>
    <row r="32" spans="2:11" ht="22" customHeight="1" x14ac:dyDescent="0.2">
      <c r="B32" s="25">
        <v>9</v>
      </c>
      <c r="C32" s="36" t="s">
        <v>52</v>
      </c>
      <c r="D32" s="36"/>
      <c r="E32" s="36" t="s">
        <v>27</v>
      </c>
      <c r="F32" s="36"/>
      <c r="G32" s="19">
        <v>32</v>
      </c>
      <c r="H32" s="20">
        <v>20</v>
      </c>
      <c r="I32" s="44">
        <v>640</v>
      </c>
      <c r="J32" s="44"/>
    </row>
    <row r="33" spans="2:10" ht="22" customHeight="1" x14ac:dyDescent="0.2">
      <c r="B33" s="25">
        <v>10</v>
      </c>
      <c r="C33" s="36" t="s">
        <v>63</v>
      </c>
      <c r="D33" s="36"/>
      <c r="E33" s="36" t="s">
        <v>27</v>
      </c>
      <c r="F33" s="36"/>
      <c r="G33" s="19">
        <v>10</v>
      </c>
      <c r="H33" s="20">
        <v>12</v>
      </c>
      <c r="I33" s="44">
        <v>120</v>
      </c>
      <c r="J33" s="44"/>
    </row>
    <row r="34" spans="2:10" ht="22" customHeight="1" x14ac:dyDescent="0.2">
      <c r="B34" s="62" t="s">
        <v>123</v>
      </c>
      <c r="C34" s="67"/>
      <c r="D34" s="67"/>
      <c r="E34" s="67"/>
      <c r="F34" s="67"/>
      <c r="G34" s="67"/>
      <c r="H34" s="67"/>
      <c r="I34" s="67"/>
      <c r="J34" s="63"/>
    </row>
    <row r="35" spans="2:10" ht="22" customHeight="1" x14ac:dyDescent="0.2">
      <c r="B35" s="25">
        <v>11</v>
      </c>
      <c r="C35" s="36" t="s">
        <v>101</v>
      </c>
      <c r="D35" s="36"/>
      <c r="E35" s="36" t="s">
        <v>102</v>
      </c>
      <c r="F35" s="36"/>
      <c r="G35" s="19">
        <v>5</v>
      </c>
      <c r="H35" s="20">
        <v>18.5</v>
      </c>
      <c r="I35" s="44">
        <v>92.5</v>
      </c>
      <c r="J35" s="44"/>
    </row>
    <row r="36" spans="2:10" ht="22" customHeight="1" x14ac:dyDescent="0.2">
      <c r="B36" s="25">
        <v>12</v>
      </c>
      <c r="C36" s="36" t="s">
        <v>104</v>
      </c>
      <c r="D36" s="36"/>
      <c r="E36" s="36" t="s">
        <v>102</v>
      </c>
      <c r="F36" s="36"/>
      <c r="G36" s="19">
        <v>10</v>
      </c>
      <c r="H36" s="20">
        <v>13.5</v>
      </c>
      <c r="I36" s="44">
        <v>135</v>
      </c>
      <c r="J36" s="44"/>
    </row>
    <row r="37" spans="2:10" ht="22" customHeight="1" x14ac:dyDescent="0.2">
      <c r="B37" s="25">
        <v>13</v>
      </c>
      <c r="C37" s="36" t="s">
        <v>106</v>
      </c>
      <c r="D37" s="36"/>
      <c r="E37" s="36" t="s">
        <v>27</v>
      </c>
      <c r="F37" s="36"/>
      <c r="G37" s="19">
        <v>16</v>
      </c>
      <c r="H37" s="20">
        <v>20</v>
      </c>
      <c r="I37" s="44">
        <v>320</v>
      </c>
      <c r="J37" s="44"/>
    </row>
    <row r="38" spans="2:10" ht="22" customHeight="1" x14ac:dyDescent="0.2">
      <c r="B38" s="25">
        <v>14</v>
      </c>
      <c r="C38" s="36" t="s">
        <v>57</v>
      </c>
      <c r="D38" s="36"/>
      <c r="E38" s="36" t="s">
        <v>27</v>
      </c>
      <c r="F38" s="36"/>
      <c r="G38" s="19">
        <v>16</v>
      </c>
      <c r="H38" s="20">
        <v>20</v>
      </c>
      <c r="I38" s="44">
        <v>320</v>
      </c>
      <c r="J38" s="44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44"/>
      <c r="J39" s="44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44"/>
      <c r="J40" s="44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44"/>
      <c r="J41" s="44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44"/>
      <c r="J42" s="44"/>
    </row>
    <row r="43" spans="2:10" ht="22" customHeight="1" x14ac:dyDescent="0.2">
      <c r="B43" s="25"/>
      <c r="C43" s="36"/>
      <c r="D43" s="36"/>
      <c r="E43" s="36"/>
      <c r="F43" s="36"/>
      <c r="G43" s="19"/>
      <c r="H43" s="20"/>
      <c r="I43" s="44"/>
      <c r="J43" s="44"/>
    </row>
    <row r="44" spans="2:10" ht="22" customHeight="1" x14ac:dyDescent="0.2">
      <c r="H44" s="11" t="s">
        <v>10</v>
      </c>
      <c r="I44" s="40">
        <f>SUM(I22:J27)+SUM(I29:J30)+SUM(I32:J33)+SUM(I35:J38)</f>
        <v>3933.98</v>
      </c>
      <c r="J44" s="40"/>
    </row>
    <row r="45" spans="2:10" ht="22" customHeight="1" x14ac:dyDescent="0.2">
      <c r="H45" s="11" t="s">
        <v>11</v>
      </c>
      <c r="I45" s="41">
        <v>0</v>
      </c>
      <c r="J45" s="41"/>
    </row>
    <row r="46" spans="2:10" ht="22" customHeight="1" x14ac:dyDescent="0.2">
      <c r="H46" s="11" t="s">
        <v>12</v>
      </c>
      <c r="I46" s="41">
        <f>I44</f>
        <v>3933.98</v>
      </c>
      <c r="J46" s="41"/>
    </row>
    <row r="47" spans="2:10" ht="22" customHeight="1" x14ac:dyDescent="0.2">
      <c r="H47" s="11" t="s">
        <v>13</v>
      </c>
      <c r="I47" s="42">
        <v>0</v>
      </c>
      <c r="J47" s="42"/>
    </row>
    <row r="48" spans="2:10" ht="22" customHeight="1" x14ac:dyDescent="0.2">
      <c r="H48" s="11" t="s">
        <v>14</v>
      </c>
      <c r="I48" s="41">
        <v>0</v>
      </c>
      <c r="J48" s="41"/>
    </row>
    <row r="49" spans="1:11" ht="22" customHeight="1" thickBot="1" x14ac:dyDescent="0.25">
      <c r="H49" s="12" t="s">
        <v>15</v>
      </c>
      <c r="I49" s="43">
        <v>0</v>
      </c>
      <c r="J49" s="43"/>
    </row>
    <row r="50" spans="1:11" ht="42" customHeight="1" x14ac:dyDescent="0.2">
      <c r="H50" s="13" t="s">
        <v>16</v>
      </c>
      <c r="I50" s="39">
        <f>I44</f>
        <v>3933.98</v>
      </c>
      <c r="J50" s="39"/>
    </row>
    <row r="52" spans="1:11" ht="49" customHeight="1" x14ac:dyDescent="0.2"/>
    <row r="53" spans="1:1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</sheetData>
  <mergeCells count="86">
    <mergeCell ref="C15:D15"/>
    <mergeCell ref="G15:K15"/>
    <mergeCell ref="H3:J5"/>
    <mergeCell ref="I7:J7"/>
    <mergeCell ref="I9:J9"/>
    <mergeCell ref="C14:D14"/>
    <mergeCell ref="G14:J14"/>
    <mergeCell ref="C22:D22"/>
    <mergeCell ref="E22:F22"/>
    <mergeCell ref="I22:J22"/>
    <mergeCell ref="C16:D16"/>
    <mergeCell ref="G16:K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B21:J21"/>
    <mergeCell ref="C23:D23"/>
    <mergeCell ref="E23:F23"/>
    <mergeCell ref="I23:J23"/>
    <mergeCell ref="C24:D24"/>
    <mergeCell ref="E24:F24"/>
    <mergeCell ref="I24:J24"/>
    <mergeCell ref="C27:D27"/>
    <mergeCell ref="E27:F27"/>
    <mergeCell ref="I27:J27"/>
    <mergeCell ref="B28:J28"/>
    <mergeCell ref="C25:D25"/>
    <mergeCell ref="E25:F25"/>
    <mergeCell ref="I25:J25"/>
    <mergeCell ref="C26:D26"/>
    <mergeCell ref="E26:F26"/>
    <mergeCell ref="I26:J26"/>
    <mergeCell ref="B31:J31"/>
    <mergeCell ref="C29:D29"/>
    <mergeCell ref="E29:F29"/>
    <mergeCell ref="I29:J29"/>
    <mergeCell ref="C30:D30"/>
    <mergeCell ref="E30:F30"/>
    <mergeCell ref="I30:J30"/>
    <mergeCell ref="C33:D33"/>
    <mergeCell ref="E33:F33"/>
    <mergeCell ref="I33:J33"/>
    <mergeCell ref="B34:J34"/>
    <mergeCell ref="C32:D32"/>
    <mergeCell ref="E32:F32"/>
    <mergeCell ref="I32:J32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I42:J42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C42:D42"/>
    <mergeCell ref="E42:F42"/>
    <mergeCell ref="I47:J47"/>
    <mergeCell ref="I48:J48"/>
    <mergeCell ref="I49:J49"/>
    <mergeCell ref="I50:J50"/>
    <mergeCell ref="C43:D43"/>
    <mergeCell ref="E43:F43"/>
    <mergeCell ref="I43:J43"/>
    <mergeCell ref="I44:J44"/>
    <mergeCell ref="I45:J45"/>
    <mergeCell ref="I46:J46"/>
  </mergeCells>
  <pageMargins left="0.45" right="0.45" top="0.5" bottom="0.5" header="0.3" footer="0.3"/>
  <pageSetup scale="61" orientation="portrait" horizontalDpi="0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0475-5630-0D42-ABC9-7C068B85859E}">
  <sheetPr codeName="Sheet20">
    <pageSetUpPr fitToPage="1"/>
  </sheetPr>
  <dimension ref="A1:M52"/>
  <sheetViews>
    <sheetView zoomScale="90" zoomScaleNormal="90" workbookViewId="0">
      <selection activeCell="H21" sqref="H21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45965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22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124</v>
      </c>
      <c r="D15" s="46"/>
      <c r="E15" s="4"/>
      <c r="F15" s="4"/>
      <c r="G15" s="46" t="s">
        <v>124</v>
      </c>
      <c r="H15" s="46"/>
      <c r="I15" s="46"/>
      <c r="J15" s="46"/>
      <c r="K15" s="46"/>
    </row>
    <row r="16" spans="1:13" ht="22" customHeight="1" x14ac:dyDescent="0.2">
      <c r="C16" s="45">
        <v>6365171779</v>
      </c>
      <c r="D16" s="45"/>
      <c r="E16" s="4"/>
      <c r="F16" s="4"/>
      <c r="G16" s="45">
        <v>6365171779</v>
      </c>
      <c r="H16" s="45"/>
      <c r="I16" s="45"/>
      <c r="J16" s="45"/>
      <c r="K16" s="16"/>
    </row>
    <row r="17" spans="2:11" ht="22" customHeight="1" x14ac:dyDescent="0.2">
      <c r="C17" s="45" t="s">
        <v>125</v>
      </c>
      <c r="D17" s="45"/>
      <c r="E17" s="16"/>
      <c r="F17" s="4"/>
      <c r="G17" s="45" t="s">
        <v>125</v>
      </c>
      <c r="H17" s="45"/>
      <c r="I17" s="45"/>
      <c r="J17" s="45"/>
      <c r="K17" s="45"/>
    </row>
    <row r="18" spans="2:11" ht="22" customHeight="1" x14ac:dyDescent="0.2">
      <c r="C18" s="46" t="s">
        <v>126</v>
      </c>
      <c r="D18" s="46"/>
      <c r="E18" s="4"/>
      <c r="F18" s="4"/>
      <c r="G18" s="45" t="s">
        <v>126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105</v>
      </c>
      <c r="D21" s="36"/>
      <c r="E21" s="36" t="s">
        <v>102</v>
      </c>
      <c r="F21" s="36"/>
      <c r="G21" s="19">
        <v>5</v>
      </c>
      <c r="H21" s="20">
        <v>34.5</v>
      </c>
      <c r="I21" s="44">
        <v>172.5</v>
      </c>
      <c r="J21" s="44"/>
    </row>
    <row r="22" spans="2:11" ht="22" customHeight="1" x14ac:dyDescent="0.2">
      <c r="B22" s="25">
        <v>2</v>
      </c>
      <c r="C22" s="36" t="s">
        <v>101</v>
      </c>
      <c r="D22" s="36"/>
      <c r="E22" s="36" t="s">
        <v>102</v>
      </c>
      <c r="F22" s="36"/>
      <c r="G22" s="19">
        <v>1</v>
      </c>
      <c r="H22" s="20">
        <v>20.5</v>
      </c>
      <c r="I22" s="37">
        <v>20.5</v>
      </c>
      <c r="J22" s="38"/>
    </row>
    <row r="23" spans="2:11" ht="22" customHeight="1" x14ac:dyDescent="0.2">
      <c r="B23" s="25">
        <v>3</v>
      </c>
      <c r="C23" s="36" t="s">
        <v>112</v>
      </c>
      <c r="D23" s="36"/>
      <c r="E23" s="36" t="s">
        <v>102</v>
      </c>
      <c r="F23" s="36"/>
      <c r="G23" s="19">
        <v>1</v>
      </c>
      <c r="H23" s="20">
        <v>23</v>
      </c>
      <c r="I23" s="37">
        <v>23</v>
      </c>
      <c r="J23" s="38"/>
    </row>
    <row r="24" spans="2:11" ht="22" customHeight="1" x14ac:dyDescent="0.2">
      <c r="B24" s="25">
        <v>4</v>
      </c>
      <c r="C24" s="36" t="s">
        <v>127</v>
      </c>
      <c r="D24" s="36"/>
      <c r="E24" s="36" t="s">
        <v>94</v>
      </c>
      <c r="F24" s="36"/>
      <c r="G24" s="19">
        <v>10</v>
      </c>
      <c r="H24" s="20">
        <v>8</v>
      </c>
      <c r="I24" s="37">
        <v>80</v>
      </c>
      <c r="J24" s="38"/>
    </row>
    <row r="25" spans="2:11" ht="22" customHeight="1" x14ac:dyDescent="0.2">
      <c r="B25" s="25">
        <v>5</v>
      </c>
      <c r="C25" s="36" t="s">
        <v>128</v>
      </c>
      <c r="D25" s="36"/>
      <c r="E25" s="36" t="s">
        <v>94</v>
      </c>
      <c r="F25" s="36"/>
      <c r="G25" s="19">
        <v>10</v>
      </c>
      <c r="H25" s="20">
        <v>8</v>
      </c>
      <c r="I25" s="37">
        <v>80</v>
      </c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376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376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376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  <mergeCell ref="C40:D40"/>
    <mergeCell ref="E40:F40"/>
    <mergeCell ref="I40:J40"/>
    <mergeCell ref="C41:D41"/>
    <mergeCell ref="E41:F41"/>
    <mergeCell ref="I41:J41"/>
    <mergeCell ref="C38:D38"/>
    <mergeCell ref="E38:F38"/>
    <mergeCell ref="I38:J38"/>
    <mergeCell ref="C39:D39"/>
    <mergeCell ref="E39:F39"/>
    <mergeCell ref="I39:J39"/>
    <mergeCell ref="C36:D36"/>
    <mergeCell ref="E36:F36"/>
    <mergeCell ref="I36:J36"/>
    <mergeCell ref="C37:D37"/>
    <mergeCell ref="E37:F37"/>
    <mergeCell ref="I37:J37"/>
    <mergeCell ref="C34:D34"/>
    <mergeCell ref="E34:F34"/>
    <mergeCell ref="I34:J34"/>
    <mergeCell ref="C35:D35"/>
    <mergeCell ref="E35:F35"/>
    <mergeCell ref="I35:J35"/>
    <mergeCell ref="C32:D32"/>
    <mergeCell ref="E32:F32"/>
    <mergeCell ref="I32:J32"/>
    <mergeCell ref="C33:D33"/>
    <mergeCell ref="E33:F33"/>
    <mergeCell ref="I33:J33"/>
    <mergeCell ref="C30:D30"/>
    <mergeCell ref="E30:F30"/>
    <mergeCell ref="I30:J30"/>
    <mergeCell ref="C31:D31"/>
    <mergeCell ref="E31:F31"/>
    <mergeCell ref="I31:J31"/>
    <mergeCell ref="C28:D28"/>
    <mergeCell ref="E28:F28"/>
    <mergeCell ref="I28:J28"/>
    <mergeCell ref="C29:D29"/>
    <mergeCell ref="E29:F29"/>
    <mergeCell ref="I29:J29"/>
    <mergeCell ref="C26:D26"/>
    <mergeCell ref="E26:F26"/>
    <mergeCell ref="I26:J26"/>
    <mergeCell ref="C27:D27"/>
    <mergeCell ref="E27:F27"/>
    <mergeCell ref="I27:J27"/>
    <mergeCell ref="C24:D24"/>
    <mergeCell ref="E24:F24"/>
    <mergeCell ref="I24:J24"/>
    <mergeCell ref="C25:D25"/>
    <mergeCell ref="E25:F25"/>
    <mergeCell ref="I25:J25"/>
    <mergeCell ref="C22:D22"/>
    <mergeCell ref="E22:F22"/>
    <mergeCell ref="I22:J22"/>
    <mergeCell ref="C23:D23"/>
    <mergeCell ref="E23:F23"/>
    <mergeCell ref="I23:J23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15:D15"/>
    <mergeCell ref="G15:K15"/>
    <mergeCell ref="H3:J5"/>
    <mergeCell ref="I7:J7"/>
    <mergeCell ref="I9:J9"/>
    <mergeCell ref="C14:D14"/>
    <mergeCell ref="G14:J14"/>
  </mergeCells>
  <pageMargins left="0.45" right="0.45" top="0.5" bottom="0.5" header="0.3" footer="0.3"/>
  <pageSetup scale="61" orientation="portrait" horizontalDpi="0" verticalDpi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B5274-1EE7-6A45-B652-F5A443526948}">
  <sheetPr codeName="Sheet21">
    <pageSetUpPr fitToPage="1"/>
  </sheetPr>
  <dimension ref="A1:M52"/>
  <sheetViews>
    <sheetView zoomScale="63" zoomScaleNormal="90" workbookViewId="0">
      <selection activeCell="T41" sqref="T41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45973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23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80</v>
      </c>
      <c r="D15" s="46"/>
      <c r="E15" s="4"/>
      <c r="F15" s="4"/>
      <c r="G15" s="46" t="s">
        <v>80</v>
      </c>
      <c r="H15" s="46"/>
      <c r="I15" s="46"/>
      <c r="J15" s="46"/>
      <c r="K15" s="46"/>
    </row>
    <row r="16" spans="1:13" ht="22" customHeight="1" x14ac:dyDescent="0.2">
      <c r="C16" s="45">
        <v>3142229482</v>
      </c>
      <c r="D16" s="45"/>
      <c r="E16" s="4"/>
      <c r="F16" s="4"/>
      <c r="G16" s="45">
        <v>3142229482</v>
      </c>
      <c r="H16" s="45"/>
      <c r="I16" s="45"/>
      <c r="J16" s="45"/>
      <c r="K16" s="16"/>
    </row>
    <row r="17" spans="2:11" ht="22" customHeight="1" x14ac:dyDescent="0.2">
      <c r="C17" s="45" t="s">
        <v>47</v>
      </c>
      <c r="D17" s="45"/>
      <c r="E17" s="16"/>
      <c r="F17" s="4"/>
      <c r="G17" s="45" t="s">
        <v>47</v>
      </c>
      <c r="H17" s="45"/>
      <c r="I17" s="45"/>
      <c r="J17" s="45"/>
      <c r="K17" s="45"/>
    </row>
    <row r="18" spans="2:11" ht="22" customHeight="1" x14ac:dyDescent="0.2">
      <c r="C18" s="46" t="s">
        <v>96</v>
      </c>
      <c r="D18" s="46"/>
      <c r="E18" s="4"/>
      <c r="F18" s="4"/>
      <c r="G18" s="45" t="s">
        <v>96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48</v>
      </c>
      <c r="D21" s="36"/>
      <c r="E21" s="36" t="s">
        <v>27</v>
      </c>
      <c r="F21" s="36"/>
      <c r="G21" s="19">
        <v>16</v>
      </c>
      <c r="H21" s="20">
        <v>16</v>
      </c>
      <c r="I21" s="44">
        <v>256</v>
      </c>
      <c r="J21" s="44"/>
    </row>
    <row r="22" spans="2:11" ht="22" customHeight="1" x14ac:dyDescent="0.2">
      <c r="B22" s="25">
        <v>2</v>
      </c>
      <c r="C22" s="36" t="s">
        <v>50</v>
      </c>
      <c r="D22" s="36"/>
      <c r="E22" s="36" t="s">
        <v>27</v>
      </c>
      <c r="F22" s="36"/>
      <c r="G22" s="19">
        <v>16</v>
      </c>
      <c r="H22" s="20">
        <v>20</v>
      </c>
      <c r="I22" s="37">
        <v>320</v>
      </c>
      <c r="J22" s="38"/>
    </row>
    <row r="23" spans="2:11" ht="22" customHeight="1" x14ac:dyDescent="0.2">
      <c r="B23" s="25">
        <v>3</v>
      </c>
      <c r="C23" s="36" t="s">
        <v>52</v>
      </c>
      <c r="D23" s="36"/>
      <c r="E23" s="36" t="s">
        <v>27</v>
      </c>
      <c r="F23" s="36"/>
      <c r="G23" s="19">
        <v>16</v>
      </c>
      <c r="H23" s="20">
        <v>20</v>
      </c>
      <c r="I23" s="37">
        <v>320</v>
      </c>
      <c r="J23" s="38"/>
    </row>
    <row r="24" spans="2:11" ht="22" customHeight="1" x14ac:dyDescent="0.2">
      <c r="B24" s="25">
        <v>4</v>
      </c>
      <c r="C24" s="36" t="s">
        <v>54</v>
      </c>
      <c r="D24" s="36"/>
      <c r="E24" s="36" t="s">
        <v>27</v>
      </c>
      <c r="F24" s="36"/>
      <c r="G24" s="19">
        <v>16</v>
      </c>
      <c r="H24" s="20">
        <v>20</v>
      </c>
      <c r="I24" s="37">
        <v>320</v>
      </c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1216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1216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1216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</mergeCells>
  <pageMargins left="0.45" right="0.45" top="0.5" bottom="0.5" header="0.3" footer="0.3"/>
  <pageSetup scale="61" orientation="portrait" horizontalDpi="0" verticalDpi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BD11B-DAE5-6844-89A0-9256A9360D74}">
  <sheetPr codeName="Sheet22">
    <pageSetUpPr fitToPage="1"/>
  </sheetPr>
  <dimension ref="A1:M52"/>
  <sheetViews>
    <sheetView topLeftCell="A3" zoomScale="63" zoomScaleNormal="90" workbookViewId="0">
      <selection activeCell="H37" sqref="H37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46013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25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82</v>
      </c>
      <c r="D15" s="46"/>
      <c r="E15" s="4"/>
      <c r="F15" s="4"/>
      <c r="G15" s="46" t="s">
        <v>82</v>
      </c>
      <c r="H15" s="46"/>
      <c r="I15" s="46"/>
      <c r="J15" s="46"/>
      <c r="K15" s="46"/>
    </row>
    <row r="16" spans="1:13" ht="22" customHeight="1" x14ac:dyDescent="0.2">
      <c r="C16" s="45">
        <v>3143519495</v>
      </c>
      <c r="D16" s="45"/>
      <c r="E16" s="4"/>
      <c r="F16" s="4"/>
      <c r="G16" s="45">
        <v>3143519495</v>
      </c>
      <c r="H16" s="45"/>
      <c r="I16" s="45"/>
      <c r="J16" s="45"/>
      <c r="K16" s="16"/>
    </row>
    <row r="17" spans="2:11" ht="22" customHeight="1" x14ac:dyDescent="0.2">
      <c r="C17" s="45" t="s">
        <v>83</v>
      </c>
      <c r="D17" s="45"/>
      <c r="E17" s="16"/>
      <c r="F17" s="4"/>
      <c r="G17" s="45" t="s">
        <v>83</v>
      </c>
      <c r="H17" s="45"/>
      <c r="I17" s="45"/>
      <c r="J17" s="45"/>
      <c r="K17" s="45"/>
    </row>
    <row r="18" spans="2:11" ht="22" customHeight="1" x14ac:dyDescent="0.2">
      <c r="C18" s="46" t="s">
        <v>89</v>
      </c>
      <c r="D18" s="46"/>
      <c r="E18" s="4"/>
      <c r="F18" s="4"/>
      <c r="G18" s="45" t="s">
        <v>89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129</v>
      </c>
      <c r="D21" s="36"/>
      <c r="E21" s="36" t="s">
        <v>130</v>
      </c>
      <c r="F21" s="36"/>
      <c r="G21" s="19">
        <v>600</v>
      </c>
      <c r="H21" s="20">
        <v>7.5</v>
      </c>
      <c r="I21" s="44">
        <v>4500</v>
      </c>
      <c r="J21" s="44"/>
    </row>
    <row r="22" spans="2:11" ht="22" customHeight="1" x14ac:dyDescent="0.2">
      <c r="B22" s="25">
        <v>2</v>
      </c>
      <c r="C22" s="36" t="s">
        <v>131</v>
      </c>
      <c r="D22" s="36"/>
      <c r="E22" s="36" t="s">
        <v>132</v>
      </c>
      <c r="F22" s="36"/>
      <c r="G22" s="19">
        <v>2500</v>
      </c>
      <c r="H22" s="20">
        <v>3.85</v>
      </c>
      <c r="I22" s="37">
        <v>9625</v>
      </c>
      <c r="J22" s="38"/>
    </row>
    <row r="23" spans="2:11" ht="22" customHeight="1" x14ac:dyDescent="0.2">
      <c r="B23" s="25"/>
      <c r="C23" s="36"/>
      <c r="D23" s="36"/>
      <c r="E23" s="36"/>
      <c r="F23" s="36"/>
      <c r="G23" s="19"/>
      <c r="H23" s="20"/>
      <c r="I23" s="37"/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14125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14125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14125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</mergeCells>
  <pageMargins left="0.45" right="0.45" top="0.5" bottom="0.5" header="0.3" footer="0.3"/>
  <pageSetup scale="61" orientation="portrait" horizontalDpi="0" verticalDpi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C555F-F4A2-904D-8F70-23F9E27CDCFB}">
  <sheetPr codeName="Sheet23">
    <pageSetUpPr fitToPage="1"/>
  </sheetPr>
  <dimension ref="A1:M52"/>
  <sheetViews>
    <sheetView zoomScale="63" zoomScaleNormal="90" workbookViewId="0">
      <selection activeCell="H22" sqref="H22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46008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24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119</v>
      </c>
      <c r="D15" s="46"/>
      <c r="E15" s="4"/>
      <c r="F15" s="4"/>
      <c r="G15" s="46" t="s">
        <v>119</v>
      </c>
      <c r="H15" s="46"/>
      <c r="I15" s="46"/>
      <c r="J15" s="46"/>
      <c r="K15" s="46"/>
    </row>
    <row r="16" spans="1:13" ht="22" customHeight="1" x14ac:dyDescent="0.2">
      <c r="C16" s="45">
        <v>3144058000</v>
      </c>
      <c r="D16" s="45"/>
      <c r="E16" s="4"/>
      <c r="F16" s="4"/>
      <c r="G16" s="45">
        <v>3144058000</v>
      </c>
      <c r="H16" s="45"/>
      <c r="I16" s="45"/>
      <c r="J16" s="45"/>
      <c r="K16" s="16"/>
    </row>
    <row r="17" spans="2:11" ht="22" customHeight="1" x14ac:dyDescent="0.2">
      <c r="C17" s="45" t="s">
        <v>109</v>
      </c>
      <c r="D17" s="45"/>
      <c r="E17" s="16"/>
      <c r="F17" s="4"/>
      <c r="G17" s="45" t="s">
        <v>109</v>
      </c>
      <c r="H17" s="45"/>
      <c r="I17" s="45"/>
      <c r="J17" s="45"/>
      <c r="K17" s="45"/>
    </row>
    <row r="18" spans="2:11" ht="22" customHeight="1" x14ac:dyDescent="0.2">
      <c r="C18" s="46" t="s">
        <v>110</v>
      </c>
      <c r="D18" s="46"/>
      <c r="E18" s="4"/>
      <c r="F18" s="4"/>
      <c r="G18" s="45" t="s">
        <v>110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101</v>
      </c>
      <c r="D21" s="36"/>
      <c r="E21" s="36" t="s">
        <v>102</v>
      </c>
      <c r="F21" s="36"/>
      <c r="G21" s="19">
        <v>168</v>
      </c>
      <c r="H21" s="20">
        <v>17</v>
      </c>
      <c r="I21" s="44">
        <v>2856</v>
      </c>
      <c r="J21" s="44"/>
    </row>
    <row r="22" spans="2:11" ht="22" customHeight="1" x14ac:dyDescent="0.2">
      <c r="B22" s="25">
        <v>2</v>
      </c>
      <c r="C22" s="36" t="s">
        <v>133</v>
      </c>
      <c r="D22" s="36"/>
      <c r="E22" s="36" t="s">
        <v>102</v>
      </c>
      <c r="F22" s="36"/>
      <c r="G22" s="19">
        <v>32</v>
      </c>
      <c r="H22" s="20">
        <v>25.5</v>
      </c>
      <c r="I22" s="37">
        <v>816</v>
      </c>
      <c r="J22" s="38"/>
    </row>
    <row r="23" spans="2:11" ht="22" customHeight="1" x14ac:dyDescent="0.2">
      <c r="B23" s="25">
        <v>3</v>
      </c>
      <c r="C23" s="36" t="s">
        <v>105</v>
      </c>
      <c r="D23" s="36"/>
      <c r="E23" s="36" t="s">
        <v>102</v>
      </c>
      <c r="F23" s="36"/>
      <c r="G23" s="19">
        <v>68</v>
      </c>
      <c r="H23" s="20">
        <v>28</v>
      </c>
      <c r="I23" s="37">
        <v>1904</v>
      </c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5576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5576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5576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  <mergeCell ref="C40:D40"/>
    <mergeCell ref="E40:F40"/>
    <mergeCell ref="I40:J40"/>
    <mergeCell ref="C41:D41"/>
    <mergeCell ref="E41:F41"/>
    <mergeCell ref="I41:J41"/>
    <mergeCell ref="C38:D38"/>
    <mergeCell ref="E38:F38"/>
    <mergeCell ref="I38:J38"/>
    <mergeCell ref="C39:D39"/>
    <mergeCell ref="E39:F39"/>
    <mergeCell ref="I39:J39"/>
    <mergeCell ref="C36:D36"/>
    <mergeCell ref="E36:F36"/>
    <mergeCell ref="I36:J36"/>
    <mergeCell ref="C37:D37"/>
    <mergeCell ref="E37:F37"/>
    <mergeCell ref="I37:J37"/>
    <mergeCell ref="C34:D34"/>
    <mergeCell ref="E34:F34"/>
    <mergeCell ref="I34:J34"/>
    <mergeCell ref="C35:D35"/>
    <mergeCell ref="E35:F35"/>
    <mergeCell ref="I35:J35"/>
    <mergeCell ref="C32:D32"/>
    <mergeCell ref="E32:F32"/>
    <mergeCell ref="I32:J32"/>
    <mergeCell ref="C33:D33"/>
    <mergeCell ref="E33:F33"/>
    <mergeCell ref="I33:J33"/>
    <mergeCell ref="C30:D30"/>
    <mergeCell ref="E30:F30"/>
    <mergeCell ref="I30:J30"/>
    <mergeCell ref="C31:D31"/>
    <mergeCell ref="E31:F31"/>
    <mergeCell ref="I31:J31"/>
    <mergeCell ref="C28:D28"/>
    <mergeCell ref="E28:F28"/>
    <mergeCell ref="I28:J28"/>
    <mergeCell ref="C29:D29"/>
    <mergeCell ref="E29:F29"/>
    <mergeCell ref="I29:J29"/>
    <mergeCell ref="C26:D26"/>
    <mergeCell ref="E26:F26"/>
    <mergeCell ref="I26:J26"/>
    <mergeCell ref="C27:D27"/>
    <mergeCell ref="E27:F27"/>
    <mergeCell ref="I27:J27"/>
    <mergeCell ref="C24:D24"/>
    <mergeCell ref="E24:F24"/>
    <mergeCell ref="I24:J24"/>
    <mergeCell ref="C25:D25"/>
    <mergeCell ref="E25:F25"/>
    <mergeCell ref="I25:J25"/>
    <mergeCell ref="C22:D22"/>
    <mergeCell ref="E22:F22"/>
    <mergeCell ref="I22:J22"/>
    <mergeCell ref="C23:D23"/>
    <mergeCell ref="E23:F23"/>
    <mergeCell ref="I23:J23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15:D15"/>
    <mergeCell ref="G15:K15"/>
    <mergeCell ref="H3:J5"/>
    <mergeCell ref="I7:J7"/>
    <mergeCell ref="I9:J9"/>
    <mergeCell ref="C14:D14"/>
    <mergeCell ref="G14:J14"/>
  </mergeCells>
  <pageMargins left="0.45" right="0.45" top="0.5" bottom="0.5" header="0.3" footer="0.3"/>
  <pageSetup scale="61" orientation="portrait" horizontalDpi="0" verticalDpi="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F827B-9295-9847-8CEF-07C39520F6ED}">
  <sheetPr codeName="Sheet24">
    <pageSetUpPr fitToPage="1"/>
  </sheetPr>
  <dimension ref="A1:M52"/>
  <sheetViews>
    <sheetView zoomScale="63" zoomScaleNormal="90" workbookViewId="0">
      <selection activeCell="P64" sqref="P64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45662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26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134</v>
      </c>
      <c r="D15" s="46"/>
      <c r="E15" s="4"/>
      <c r="F15" s="4"/>
      <c r="G15" s="46" t="s">
        <v>134</v>
      </c>
      <c r="H15" s="46"/>
      <c r="I15" s="46"/>
      <c r="J15" s="46"/>
      <c r="K15" s="46"/>
    </row>
    <row r="16" spans="1:13" ht="22" customHeight="1" x14ac:dyDescent="0.2">
      <c r="C16" s="45">
        <v>3103370829</v>
      </c>
      <c r="D16" s="45"/>
      <c r="E16" s="4"/>
      <c r="F16" s="4"/>
      <c r="G16" s="45">
        <v>3103370829</v>
      </c>
      <c r="H16" s="45"/>
      <c r="I16" s="45"/>
      <c r="J16" s="45"/>
      <c r="K16" s="16"/>
    </row>
    <row r="17" spans="2:11" ht="22" customHeight="1" x14ac:dyDescent="0.2">
      <c r="C17" s="45" t="s">
        <v>135</v>
      </c>
      <c r="D17" s="45"/>
      <c r="E17" s="16"/>
      <c r="F17" s="4"/>
      <c r="G17" s="45" t="s">
        <v>135</v>
      </c>
      <c r="H17" s="45"/>
      <c r="I17" s="45"/>
      <c r="J17" s="45"/>
      <c r="K17" s="45"/>
    </row>
    <row r="18" spans="2:11" ht="22" customHeight="1" x14ac:dyDescent="0.2">
      <c r="C18" s="46" t="s">
        <v>136</v>
      </c>
      <c r="D18" s="46"/>
      <c r="E18" s="4"/>
      <c r="F18" s="4"/>
      <c r="G18" s="45" t="s">
        <v>136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58</v>
      </c>
      <c r="D21" s="36"/>
      <c r="E21" s="36" t="s">
        <v>27</v>
      </c>
      <c r="F21" s="36"/>
      <c r="G21" s="19">
        <v>10</v>
      </c>
      <c r="H21" s="20">
        <v>20</v>
      </c>
      <c r="I21" s="44">
        <v>200</v>
      </c>
      <c r="J21" s="44"/>
    </row>
    <row r="22" spans="2:11" ht="22" customHeight="1" x14ac:dyDescent="0.2">
      <c r="B22" s="25"/>
      <c r="C22" s="36"/>
      <c r="D22" s="36"/>
      <c r="E22" s="36"/>
      <c r="F22" s="36"/>
      <c r="G22" s="19"/>
      <c r="H22" s="20"/>
      <c r="I22" s="37"/>
      <c r="J22" s="38"/>
    </row>
    <row r="23" spans="2:11" ht="22" customHeight="1" x14ac:dyDescent="0.2">
      <c r="B23" s="25"/>
      <c r="C23" s="36"/>
      <c r="D23" s="36"/>
      <c r="E23" s="36"/>
      <c r="F23" s="36"/>
      <c r="G23" s="19"/>
      <c r="H23" s="20"/>
      <c r="I23" s="37"/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200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200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20</v>
      </c>
      <c r="J48" s="43"/>
    </row>
    <row r="49" spans="1:11" ht="42" customHeight="1" x14ac:dyDescent="0.2">
      <c r="H49" s="13" t="s">
        <v>16</v>
      </c>
      <c r="I49" s="39">
        <v>220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</mergeCells>
  <pageMargins left="0.45" right="0.45" top="0.5" bottom="0.5" header="0.3" footer="0.3"/>
  <pageSetup scale="61" orientation="portrait" horizontalDpi="0" verticalDpi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3E3B-EF8F-3B42-9BEC-71507FEEB781}">
  <sheetPr codeName="Sheet25">
    <pageSetUpPr fitToPage="1"/>
  </sheetPr>
  <dimension ref="A1:M52"/>
  <sheetViews>
    <sheetView topLeftCell="A3" zoomScaleNormal="100" workbookViewId="0">
      <selection activeCell="G31" sqref="G31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45667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27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124</v>
      </c>
      <c r="D15" s="46"/>
      <c r="E15" s="4"/>
      <c r="F15" s="4"/>
      <c r="G15" s="46" t="s">
        <v>124</v>
      </c>
      <c r="H15" s="46"/>
      <c r="I15" s="46"/>
      <c r="J15" s="46"/>
      <c r="K15" s="46"/>
    </row>
    <row r="16" spans="1:13" ht="22" customHeight="1" x14ac:dyDescent="0.2">
      <c r="C16" s="45">
        <v>6365171779</v>
      </c>
      <c r="D16" s="45"/>
      <c r="E16" s="4"/>
      <c r="F16" s="4"/>
      <c r="G16" s="45">
        <v>6365171779</v>
      </c>
      <c r="H16" s="45"/>
      <c r="I16" s="45"/>
      <c r="J16" s="45"/>
      <c r="K16" s="16"/>
    </row>
    <row r="17" spans="2:11" ht="22" customHeight="1" x14ac:dyDescent="0.2">
      <c r="C17" s="45" t="s">
        <v>125</v>
      </c>
      <c r="D17" s="45"/>
      <c r="E17" s="16"/>
      <c r="F17" s="4"/>
      <c r="G17" s="45" t="s">
        <v>125</v>
      </c>
      <c r="H17" s="45"/>
      <c r="I17" s="45"/>
      <c r="J17" s="45"/>
      <c r="K17" s="45"/>
    </row>
    <row r="18" spans="2:11" ht="22" customHeight="1" x14ac:dyDescent="0.2">
      <c r="C18" s="46" t="s">
        <v>126</v>
      </c>
      <c r="D18" s="46"/>
      <c r="E18" s="4"/>
      <c r="F18" s="4"/>
      <c r="G18" s="45" t="s">
        <v>126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133</v>
      </c>
      <c r="D21" s="36"/>
      <c r="E21" s="36" t="s">
        <v>102</v>
      </c>
      <c r="F21" s="36"/>
      <c r="G21" s="19">
        <v>2</v>
      </c>
      <c r="H21" s="20">
        <v>30</v>
      </c>
      <c r="I21" s="44">
        <v>60</v>
      </c>
      <c r="J21" s="44"/>
    </row>
    <row r="22" spans="2:11" ht="22" customHeight="1" x14ac:dyDescent="0.2">
      <c r="B22" s="25">
        <v>2</v>
      </c>
      <c r="C22" s="36" t="s">
        <v>118</v>
      </c>
      <c r="D22" s="36"/>
      <c r="E22" s="36" t="s">
        <v>102</v>
      </c>
      <c r="F22" s="36"/>
      <c r="G22" s="19">
        <v>3</v>
      </c>
      <c r="H22" s="20">
        <v>35</v>
      </c>
      <c r="I22" s="37">
        <v>85.5</v>
      </c>
      <c r="J22" s="38"/>
    </row>
    <row r="23" spans="2:11" ht="22" customHeight="1" x14ac:dyDescent="0.2">
      <c r="B23" s="25"/>
      <c r="C23" s="36"/>
      <c r="D23" s="36"/>
      <c r="E23" s="36"/>
      <c r="F23" s="36"/>
      <c r="G23" s="19"/>
      <c r="H23" s="20"/>
      <c r="I23" s="37"/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f>SUM(I21:J22)</f>
        <v>145.5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145.5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145.5</v>
      </c>
      <c r="J49" s="39"/>
    </row>
    <row r="51" spans="1:11" ht="82" customHeight="1" x14ac:dyDescent="0.2">
      <c r="C51" s="35" t="s">
        <v>137</v>
      </c>
      <c r="D51" s="35"/>
    </row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3">
    <mergeCell ref="I46:J46"/>
    <mergeCell ref="I47:J47"/>
    <mergeCell ref="I48:J48"/>
    <mergeCell ref="I49:J49"/>
    <mergeCell ref="C51:D51"/>
    <mergeCell ref="I45:J45"/>
    <mergeCell ref="C40:D40"/>
    <mergeCell ref="E40:F40"/>
    <mergeCell ref="I40:J40"/>
    <mergeCell ref="C41:D41"/>
    <mergeCell ref="E41:F41"/>
    <mergeCell ref="I41:J41"/>
    <mergeCell ref="C42:D42"/>
    <mergeCell ref="E42:F42"/>
    <mergeCell ref="I42:J42"/>
    <mergeCell ref="I43:J43"/>
    <mergeCell ref="I44:J44"/>
    <mergeCell ref="C38:D38"/>
    <mergeCell ref="E38:F38"/>
    <mergeCell ref="I38:J38"/>
    <mergeCell ref="C39:D39"/>
    <mergeCell ref="E39:F39"/>
    <mergeCell ref="I39:J39"/>
    <mergeCell ref="C36:D36"/>
    <mergeCell ref="E36:F36"/>
    <mergeCell ref="I36:J36"/>
    <mergeCell ref="C37:D37"/>
    <mergeCell ref="E37:F37"/>
    <mergeCell ref="I37:J37"/>
    <mergeCell ref="C34:D34"/>
    <mergeCell ref="E34:F34"/>
    <mergeCell ref="I34:J34"/>
    <mergeCell ref="C35:D35"/>
    <mergeCell ref="E35:F35"/>
    <mergeCell ref="I35:J35"/>
    <mergeCell ref="C32:D32"/>
    <mergeCell ref="E32:F32"/>
    <mergeCell ref="I32:J32"/>
    <mergeCell ref="C33:D33"/>
    <mergeCell ref="E33:F33"/>
    <mergeCell ref="I33:J33"/>
    <mergeCell ref="C30:D30"/>
    <mergeCell ref="E30:F30"/>
    <mergeCell ref="I30:J30"/>
    <mergeCell ref="C31:D31"/>
    <mergeCell ref="E31:F31"/>
    <mergeCell ref="I31:J31"/>
    <mergeCell ref="C28:D28"/>
    <mergeCell ref="E28:F28"/>
    <mergeCell ref="I28:J28"/>
    <mergeCell ref="C29:D29"/>
    <mergeCell ref="E29:F29"/>
    <mergeCell ref="I29:J29"/>
    <mergeCell ref="C26:D26"/>
    <mergeCell ref="E26:F26"/>
    <mergeCell ref="I26:J26"/>
    <mergeCell ref="C27:D27"/>
    <mergeCell ref="E27:F27"/>
    <mergeCell ref="I27:J27"/>
    <mergeCell ref="C24:D24"/>
    <mergeCell ref="E24:F24"/>
    <mergeCell ref="I24:J24"/>
    <mergeCell ref="C25:D25"/>
    <mergeCell ref="E25:F25"/>
    <mergeCell ref="I25:J25"/>
    <mergeCell ref="C22:D22"/>
    <mergeCell ref="E22:F22"/>
    <mergeCell ref="I22:J22"/>
    <mergeCell ref="C23:D23"/>
    <mergeCell ref="E23:F23"/>
    <mergeCell ref="I23:J23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15:D15"/>
    <mergeCell ref="G15:K15"/>
    <mergeCell ref="H3:J5"/>
    <mergeCell ref="I7:J7"/>
    <mergeCell ref="I9:J9"/>
    <mergeCell ref="C14:D14"/>
    <mergeCell ref="G14:J14"/>
  </mergeCells>
  <pageMargins left="0.45" right="0.45" top="0.5" bottom="0.5" header="0.3" footer="0.3"/>
  <pageSetup scale="61" orientation="portrait" horizontalDpi="0" verticalDpi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09A48-9982-F748-BE68-EA4074317A89}">
  <sheetPr codeName="Sheet27">
    <pageSetUpPr fitToPage="1"/>
  </sheetPr>
  <dimension ref="A1:M52"/>
  <sheetViews>
    <sheetView zoomScale="63" zoomScaleNormal="90" workbookViewId="0">
      <selection activeCell="I10" sqref="I10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46013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27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82</v>
      </c>
      <c r="D15" s="46"/>
      <c r="E15" s="4"/>
      <c r="F15" s="4"/>
      <c r="G15" s="46" t="s">
        <v>82</v>
      </c>
      <c r="H15" s="46"/>
      <c r="I15" s="46"/>
      <c r="J15" s="46"/>
      <c r="K15" s="46"/>
    </row>
    <row r="16" spans="1:13" ht="22" customHeight="1" x14ac:dyDescent="0.2">
      <c r="C16" s="45">
        <v>3143519495</v>
      </c>
      <c r="D16" s="45"/>
      <c r="E16" s="4"/>
      <c r="F16" s="4"/>
      <c r="G16" s="45">
        <v>3143519495</v>
      </c>
      <c r="H16" s="45"/>
      <c r="I16" s="45"/>
      <c r="J16" s="45"/>
      <c r="K16" s="16"/>
    </row>
    <row r="17" spans="2:11" ht="22" customHeight="1" x14ac:dyDescent="0.2">
      <c r="C17" s="45" t="s">
        <v>83</v>
      </c>
      <c r="D17" s="45"/>
      <c r="E17" s="16"/>
      <c r="F17" s="4"/>
      <c r="G17" s="45" t="s">
        <v>83</v>
      </c>
      <c r="H17" s="45"/>
      <c r="I17" s="45"/>
      <c r="J17" s="45"/>
      <c r="K17" s="45"/>
    </row>
    <row r="18" spans="2:11" ht="22" customHeight="1" x14ac:dyDescent="0.2">
      <c r="C18" s="46" t="s">
        <v>89</v>
      </c>
      <c r="D18" s="46"/>
      <c r="E18" s="4"/>
      <c r="F18" s="4"/>
      <c r="G18" s="45" t="s">
        <v>89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129</v>
      </c>
      <c r="D21" s="36"/>
      <c r="E21" s="36" t="s">
        <v>130</v>
      </c>
      <c r="F21" s="36"/>
      <c r="G21" s="19">
        <v>600</v>
      </c>
      <c r="H21" s="20">
        <v>7.5</v>
      </c>
      <c r="I21" s="44">
        <v>4500</v>
      </c>
      <c r="J21" s="44"/>
    </row>
    <row r="22" spans="2:11" ht="22" customHeight="1" x14ac:dyDescent="0.2">
      <c r="B22" s="25">
        <v>2</v>
      </c>
      <c r="C22" s="36" t="s">
        <v>131</v>
      </c>
      <c r="D22" s="36"/>
      <c r="E22" s="36" t="s">
        <v>132</v>
      </c>
      <c r="F22" s="36"/>
      <c r="G22" s="19">
        <v>2500</v>
      </c>
      <c r="H22" s="20">
        <v>3.85</v>
      </c>
      <c r="I22" s="37">
        <v>9625</v>
      </c>
      <c r="J22" s="38"/>
    </row>
    <row r="23" spans="2:11" ht="22" customHeight="1" x14ac:dyDescent="0.2">
      <c r="B23" s="25"/>
      <c r="C23" s="36"/>
      <c r="D23" s="36"/>
      <c r="E23" s="36"/>
      <c r="F23" s="36"/>
      <c r="G23" s="19"/>
      <c r="H23" s="20"/>
      <c r="I23" s="37"/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14125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14125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14125</v>
      </c>
      <c r="J49" s="39"/>
    </row>
    <row r="51" spans="1:11" ht="49" customHeight="1" x14ac:dyDescent="0.2"/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2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C40:D40"/>
    <mergeCell ref="E40:F40"/>
    <mergeCell ref="I40:J40"/>
    <mergeCell ref="C41:D41"/>
    <mergeCell ref="E41:F41"/>
    <mergeCell ref="I41:J41"/>
    <mergeCell ref="I46:J46"/>
    <mergeCell ref="I47:J47"/>
    <mergeCell ref="I48:J48"/>
    <mergeCell ref="I49:J49"/>
    <mergeCell ref="C42:D42"/>
    <mergeCell ref="E42:F42"/>
    <mergeCell ref="I42:J42"/>
    <mergeCell ref="I43:J43"/>
    <mergeCell ref="I44:J44"/>
    <mergeCell ref="I45:J45"/>
  </mergeCells>
  <pageMargins left="0.45" right="0.45" top="0.5" bottom="0.5" header="0.3" footer="0.3"/>
  <pageSetup scale="61" orientation="portrait" horizontalDpi="0" verticalDpi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BB45E-DE2C-AC43-8AA0-167A68932184}">
  <sheetPr codeName="Sheet26">
    <pageSetUpPr fitToPage="1"/>
  </sheetPr>
  <dimension ref="A1:M52"/>
  <sheetViews>
    <sheetView zoomScale="56" zoomScaleNormal="90" workbookViewId="0">
      <selection activeCell="I49" sqref="I49:J49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46046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28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134</v>
      </c>
      <c r="D15" s="46"/>
      <c r="E15" s="4"/>
      <c r="F15" s="4"/>
      <c r="G15" s="46" t="s">
        <v>134</v>
      </c>
      <c r="H15" s="46"/>
      <c r="I15" s="46"/>
      <c r="J15" s="46"/>
      <c r="K15" s="46"/>
    </row>
    <row r="16" spans="1:13" ht="22" customHeight="1" x14ac:dyDescent="0.2">
      <c r="C16" s="45">
        <v>3103370829</v>
      </c>
      <c r="D16" s="45"/>
      <c r="E16" s="4"/>
      <c r="F16" s="4"/>
      <c r="G16" s="45">
        <v>3103370829</v>
      </c>
      <c r="H16" s="45"/>
      <c r="I16" s="45"/>
      <c r="J16" s="45"/>
      <c r="K16" s="16"/>
    </row>
    <row r="17" spans="2:11" ht="22" customHeight="1" x14ac:dyDescent="0.2">
      <c r="C17" s="45" t="s">
        <v>135</v>
      </c>
      <c r="D17" s="45"/>
      <c r="E17" s="16"/>
      <c r="F17" s="4"/>
      <c r="G17" s="45" t="s">
        <v>135</v>
      </c>
      <c r="H17" s="45"/>
      <c r="I17" s="45"/>
      <c r="J17" s="45"/>
      <c r="K17" s="45"/>
    </row>
    <row r="18" spans="2:11" ht="22" customHeight="1" x14ac:dyDescent="0.2">
      <c r="C18" s="46" t="s">
        <v>136</v>
      </c>
      <c r="D18" s="46"/>
      <c r="E18" s="4"/>
      <c r="F18" s="4"/>
      <c r="G18" s="45" t="s">
        <v>136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55</v>
      </c>
      <c r="D21" s="36"/>
      <c r="E21" s="36" t="s">
        <v>27</v>
      </c>
      <c r="F21" s="36"/>
      <c r="G21" s="19">
        <v>12</v>
      </c>
      <c r="H21" s="20">
        <v>20</v>
      </c>
      <c r="I21" s="44">
        <v>240</v>
      </c>
      <c r="J21" s="44"/>
    </row>
    <row r="22" spans="2:11" ht="22" customHeight="1" x14ac:dyDescent="0.2">
      <c r="B22" s="25">
        <v>2</v>
      </c>
      <c r="C22" s="36" t="s">
        <v>66</v>
      </c>
      <c r="D22" s="36"/>
      <c r="E22" s="36" t="s">
        <v>27</v>
      </c>
      <c r="F22" s="36"/>
      <c r="G22" s="19">
        <v>6</v>
      </c>
      <c r="H22" s="20">
        <v>15</v>
      </c>
      <c r="I22" s="37">
        <v>90</v>
      </c>
      <c r="J22" s="38"/>
    </row>
    <row r="23" spans="2:11" ht="22" customHeight="1" x14ac:dyDescent="0.2">
      <c r="B23" s="25"/>
      <c r="C23" s="36"/>
      <c r="D23" s="36"/>
      <c r="E23" s="36"/>
      <c r="F23" s="36"/>
      <c r="G23" s="19"/>
      <c r="H23" s="20"/>
      <c r="I23" s="37"/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330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330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330</v>
      </c>
      <c r="J49" s="39"/>
    </row>
    <row r="51" spans="1:11" ht="82" customHeight="1" x14ac:dyDescent="0.2">
      <c r="C51" s="35" t="s">
        <v>137</v>
      </c>
      <c r="D51" s="35"/>
    </row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3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I45:J45"/>
    <mergeCell ref="C40:D40"/>
    <mergeCell ref="E40:F40"/>
    <mergeCell ref="I40:J40"/>
    <mergeCell ref="C41:D41"/>
    <mergeCell ref="E41:F41"/>
    <mergeCell ref="I41:J41"/>
    <mergeCell ref="C42:D42"/>
    <mergeCell ref="E42:F42"/>
    <mergeCell ref="I42:J42"/>
    <mergeCell ref="I43:J43"/>
    <mergeCell ref="I44:J44"/>
    <mergeCell ref="I46:J46"/>
    <mergeCell ref="I47:J47"/>
    <mergeCell ref="I48:J48"/>
    <mergeCell ref="I49:J49"/>
    <mergeCell ref="C51:D51"/>
  </mergeCells>
  <pageMargins left="0.45" right="0.45" top="0.5" bottom="0.5" header="0.3" footer="0.3"/>
  <pageSetup scale="61" orientation="portrait" horizontalDpi="0" verticalDpi="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DD63A-CB66-3647-86A2-47EB7FBACF15}">
  <sheetPr codeName="Sheet28">
    <pageSetUpPr fitToPage="1"/>
  </sheetPr>
  <dimension ref="A1:M52"/>
  <sheetViews>
    <sheetView zoomScale="75" zoomScaleNormal="41" workbookViewId="0">
      <selection activeCell="I49" sqref="I49:J49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45683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29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138</v>
      </c>
      <c r="D15" s="46"/>
      <c r="E15" s="4"/>
      <c r="F15" s="4"/>
      <c r="G15" s="46" t="s">
        <v>138</v>
      </c>
      <c r="H15" s="46"/>
      <c r="I15" s="46"/>
      <c r="J15" s="46"/>
      <c r="K15" s="46"/>
    </row>
    <row r="16" spans="1:13" ht="22" customHeight="1" x14ac:dyDescent="0.2">
      <c r="C16" s="45">
        <v>7148545588</v>
      </c>
      <c r="D16" s="45"/>
      <c r="E16" s="4"/>
      <c r="F16" s="4"/>
      <c r="G16" s="45">
        <v>7148545588</v>
      </c>
      <c r="H16" s="45"/>
      <c r="I16" s="45"/>
      <c r="J16" s="45"/>
      <c r="K16" s="16"/>
    </row>
    <row r="17" spans="2:11" ht="22" customHeight="1" x14ac:dyDescent="0.2">
      <c r="C17" s="45" t="s">
        <v>139</v>
      </c>
      <c r="D17" s="45"/>
      <c r="E17" s="16"/>
      <c r="F17" s="4"/>
      <c r="G17" s="45" t="s">
        <v>139</v>
      </c>
      <c r="H17" s="45"/>
      <c r="I17" s="45"/>
      <c r="J17" s="45"/>
      <c r="K17" s="45"/>
    </row>
    <row r="18" spans="2:11" ht="22" customHeight="1" x14ac:dyDescent="0.2">
      <c r="C18" s="46" t="s">
        <v>140</v>
      </c>
      <c r="D18" s="46"/>
      <c r="E18" s="4"/>
      <c r="F18" s="4"/>
      <c r="G18" s="45" t="s">
        <v>140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141</v>
      </c>
      <c r="D21" s="36"/>
      <c r="E21" s="36" t="s">
        <v>132</v>
      </c>
      <c r="F21" s="36"/>
      <c r="G21" s="19">
        <v>50</v>
      </c>
      <c r="H21" s="20">
        <v>13</v>
      </c>
      <c r="I21" s="44">
        <v>650</v>
      </c>
      <c r="J21" s="44"/>
    </row>
    <row r="22" spans="2:11" ht="22" customHeight="1" x14ac:dyDescent="0.2">
      <c r="B22" s="25">
        <v>2</v>
      </c>
      <c r="C22" s="36" t="s">
        <v>142</v>
      </c>
      <c r="D22" s="36"/>
      <c r="E22" s="36" t="s">
        <v>132</v>
      </c>
      <c r="F22" s="36"/>
      <c r="G22" s="19">
        <v>15</v>
      </c>
      <c r="H22" s="20">
        <v>9</v>
      </c>
      <c r="I22" s="37">
        <v>135</v>
      </c>
      <c r="J22" s="38"/>
    </row>
    <row r="23" spans="2:11" ht="22" customHeight="1" x14ac:dyDescent="0.2">
      <c r="B23" s="25">
        <v>3</v>
      </c>
      <c r="C23" s="36" t="s">
        <v>143</v>
      </c>
      <c r="D23" s="36"/>
      <c r="E23" s="36" t="s">
        <v>132</v>
      </c>
      <c r="F23" s="36"/>
      <c r="G23" s="19">
        <v>5</v>
      </c>
      <c r="H23" s="20">
        <v>5.5</v>
      </c>
      <c r="I23" s="37">
        <v>27.5</v>
      </c>
      <c r="J23" s="38"/>
    </row>
    <row r="24" spans="2:11" ht="22" customHeight="1" x14ac:dyDescent="0.2">
      <c r="B24" s="25">
        <v>4</v>
      </c>
      <c r="C24" s="36" t="s">
        <v>144</v>
      </c>
      <c r="D24" s="36"/>
      <c r="E24" s="36" t="s">
        <v>132</v>
      </c>
      <c r="F24" s="36"/>
      <c r="G24" s="19">
        <v>5</v>
      </c>
      <c r="H24" s="20">
        <v>5</v>
      </c>
      <c r="I24" s="37">
        <v>25</v>
      </c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837.5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837.5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837.5</v>
      </c>
      <c r="J49" s="39"/>
    </row>
    <row r="51" spans="1:11" ht="82" customHeight="1" x14ac:dyDescent="0.2">
      <c r="C51" s="35" t="s">
        <v>137</v>
      </c>
      <c r="D51" s="35"/>
    </row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3">
    <mergeCell ref="I46:J46"/>
    <mergeCell ref="I47:J47"/>
    <mergeCell ref="I48:J48"/>
    <mergeCell ref="I49:J49"/>
    <mergeCell ref="C51:D51"/>
    <mergeCell ref="I45:J45"/>
    <mergeCell ref="C40:D40"/>
    <mergeCell ref="E40:F40"/>
    <mergeCell ref="I40:J40"/>
    <mergeCell ref="C41:D41"/>
    <mergeCell ref="E41:F41"/>
    <mergeCell ref="I41:J41"/>
    <mergeCell ref="C42:D42"/>
    <mergeCell ref="E42:F42"/>
    <mergeCell ref="I42:J42"/>
    <mergeCell ref="I43:J43"/>
    <mergeCell ref="I44:J44"/>
    <mergeCell ref="C38:D38"/>
    <mergeCell ref="E38:F38"/>
    <mergeCell ref="I38:J38"/>
    <mergeCell ref="C39:D39"/>
    <mergeCell ref="E39:F39"/>
    <mergeCell ref="I39:J39"/>
    <mergeCell ref="C36:D36"/>
    <mergeCell ref="E36:F36"/>
    <mergeCell ref="I36:J36"/>
    <mergeCell ref="C37:D37"/>
    <mergeCell ref="E37:F37"/>
    <mergeCell ref="I37:J37"/>
    <mergeCell ref="C34:D34"/>
    <mergeCell ref="E34:F34"/>
    <mergeCell ref="I34:J34"/>
    <mergeCell ref="C35:D35"/>
    <mergeCell ref="E35:F35"/>
    <mergeCell ref="I35:J35"/>
    <mergeCell ref="C32:D32"/>
    <mergeCell ref="E32:F32"/>
    <mergeCell ref="I32:J32"/>
    <mergeCell ref="C33:D33"/>
    <mergeCell ref="E33:F33"/>
    <mergeCell ref="I33:J33"/>
    <mergeCell ref="C30:D30"/>
    <mergeCell ref="E30:F30"/>
    <mergeCell ref="I30:J30"/>
    <mergeCell ref="C31:D31"/>
    <mergeCell ref="E31:F31"/>
    <mergeCell ref="I31:J31"/>
    <mergeCell ref="C28:D28"/>
    <mergeCell ref="E28:F28"/>
    <mergeCell ref="I28:J28"/>
    <mergeCell ref="C29:D29"/>
    <mergeCell ref="E29:F29"/>
    <mergeCell ref="I29:J29"/>
    <mergeCell ref="C26:D26"/>
    <mergeCell ref="E26:F26"/>
    <mergeCell ref="I26:J26"/>
    <mergeCell ref="C27:D27"/>
    <mergeCell ref="E27:F27"/>
    <mergeCell ref="I27:J27"/>
    <mergeCell ref="C24:D24"/>
    <mergeCell ref="E24:F24"/>
    <mergeCell ref="I24:J24"/>
    <mergeCell ref="C25:D25"/>
    <mergeCell ref="E25:F25"/>
    <mergeCell ref="I25:J25"/>
    <mergeCell ref="C22:D22"/>
    <mergeCell ref="E22:F22"/>
    <mergeCell ref="I22:J22"/>
    <mergeCell ref="C23:D23"/>
    <mergeCell ref="E23:F23"/>
    <mergeCell ref="I23:J23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15:D15"/>
    <mergeCell ref="G15:K15"/>
    <mergeCell ref="H3:J5"/>
    <mergeCell ref="I7:J7"/>
    <mergeCell ref="I9:J9"/>
    <mergeCell ref="C14:D14"/>
    <mergeCell ref="G14:J14"/>
  </mergeCells>
  <pageMargins left="0.45" right="0.45" top="0.5" bottom="0.5" header="0.3" footer="0.3"/>
  <pageSetup scale="61" orientation="portrait" horizontalDpi="0" verticalDpi="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D926-C997-0E49-8BA0-83B394C4B53A}">
  <sheetPr codeName="Sheet29">
    <pageSetUpPr fitToPage="1"/>
  </sheetPr>
  <dimension ref="A1:M52"/>
  <sheetViews>
    <sheetView topLeftCell="A7" zoomScale="81" zoomScaleNormal="90" workbookViewId="0">
      <selection activeCell="I50" sqref="I50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46052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30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17</v>
      </c>
      <c r="D15" s="46"/>
      <c r="E15" s="4"/>
      <c r="F15" s="4"/>
      <c r="G15" s="46" t="s">
        <v>17</v>
      </c>
      <c r="H15" s="46"/>
      <c r="I15" s="46"/>
      <c r="J15" s="46"/>
      <c r="K15" s="46"/>
    </row>
    <row r="16" spans="1:13" ht="22" customHeight="1" x14ac:dyDescent="0.2">
      <c r="C16" s="45">
        <v>7148545588</v>
      </c>
      <c r="D16" s="45"/>
      <c r="E16" s="4"/>
      <c r="F16" s="4"/>
      <c r="G16" s="45">
        <v>7148545588</v>
      </c>
      <c r="H16" s="45"/>
      <c r="I16" s="45"/>
      <c r="J16" s="45"/>
      <c r="K16" s="16"/>
    </row>
    <row r="17" spans="2:11" ht="22" customHeight="1" x14ac:dyDescent="0.2">
      <c r="C17" s="45" t="s">
        <v>139</v>
      </c>
      <c r="D17" s="45"/>
      <c r="E17" s="16"/>
      <c r="F17" s="4"/>
      <c r="G17" s="45" t="s">
        <v>139</v>
      </c>
      <c r="H17" s="45"/>
      <c r="I17" s="45"/>
      <c r="J17" s="45"/>
      <c r="K17" s="45"/>
    </row>
    <row r="18" spans="2:11" ht="22" customHeight="1" x14ac:dyDescent="0.2">
      <c r="C18" s="46" t="s">
        <v>140</v>
      </c>
      <c r="D18" s="46"/>
      <c r="E18" s="4"/>
      <c r="F18" s="4"/>
      <c r="G18" s="45" t="s">
        <v>140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141</v>
      </c>
      <c r="D21" s="36"/>
      <c r="E21" s="36" t="s">
        <v>132</v>
      </c>
      <c r="F21" s="36"/>
      <c r="G21" s="19">
        <v>55</v>
      </c>
      <c r="H21" s="20">
        <v>13</v>
      </c>
      <c r="I21" s="44">
        <v>715</v>
      </c>
      <c r="J21" s="44"/>
    </row>
    <row r="22" spans="2:11" ht="22" customHeight="1" x14ac:dyDescent="0.2">
      <c r="B22" s="25">
        <v>2</v>
      </c>
      <c r="C22" s="36" t="s">
        <v>142</v>
      </c>
      <c r="D22" s="36"/>
      <c r="E22" s="36" t="s">
        <v>132</v>
      </c>
      <c r="F22" s="36"/>
      <c r="G22" s="19">
        <v>10</v>
      </c>
      <c r="H22" s="20">
        <v>9</v>
      </c>
      <c r="I22" s="37">
        <v>90</v>
      </c>
      <c r="J22" s="38"/>
    </row>
    <row r="23" spans="2:11" ht="22" customHeight="1" x14ac:dyDescent="0.2">
      <c r="B23" s="25">
        <v>3</v>
      </c>
      <c r="C23" s="36" t="s">
        <v>144</v>
      </c>
      <c r="D23" s="36"/>
      <c r="E23" s="36" t="s">
        <v>132</v>
      </c>
      <c r="F23" s="36"/>
      <c r="G23" s="19">
        <v>10</v>
      </c>
      <c r="H23" s="20">
        <v>5</v>
      </c>
      <c r="I23" s="37">
        <v>50</v>
      </c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855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855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855</v>
      </c>
      <c r="J49" s="39"/>
    </row>
    <row r="51" spans="1:11" ht="82" customHeight="1" x14ac:dyDescent="0.2">
      <c r="C51" s="35" t="s">
        <v>137</v>
      </c>
      <c r="D51" s="35"/>
    </row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3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I45:J45"/>
    <mergeCell ref="C40:D40"/>
    <mergeCell ref="E40:F40"/>
    <mergeCell ref="I40:J40"/>
    <mergeCell ref="C41:D41"/>
    <mergeCell ref="E41:F41"/>
    <mergeCell ref="I41:J41"/>
    <mergeCell ref="C42:D42"/>
    <mergeCell ref="E42:F42"/>
    <mergeCell ref="I42:J42"/>
    <mergeCell ref="I43:J43"/>
    <mergeCell ref="I44:J44"/>
    <mergeCell ref="I46:J46"/>
    <mergeCell ref="I47:J47"/>
    <mergeCell ref="I48:J48"/>
    <mergeCell ref="I49:J49"/>
    <mergeCell ref="C51:D51"/>
  </mergeCells>
  <pageMargins left="0.45" right="0.45" top="0.5" bottom="0.5" header="0.3" footer="0.3"/>
  <pageSetup scale="61" orientation="portrait" horizontalDpi="0" verticalDpi="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EF821-7AB0-754E-8BAE-5E1F66CC2473}">
  <sheetPr codeName="Sheet30">
    <pageSetUpPr fitToPage="1"/>
  </sheetPr>
  <dimension ref="A1:M52"/>
  <sheetViews>
    <sheetView zoomScale="91" zoomScaleNormal="90" workbookViewId="0">
      <selection activeCell="I49" sqref="I49:J49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46057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31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145</v>
      </c>
      <c r="D15" s="46"/>
      <c r="E15" s="4"/>
      <c r="F15" s="4"/>
      <c r="G15" s="46" t="s">
        <v>145</v>
      </c>
      <c r="H15" s="46"/>
      <c r="I15" s="46"/>
      <c r="J15" s="46"/>
      <c r="K15" s="46"/>
    </row>
    <row r="16" spans="1:13" ht="22" customHeight="1" x14ac:dyDescent="0.2">
      <c r="C16" s="45">
        <v>8329077275</v>
      </c>
      <c r="D16" s="45"/>
      <c r="E16" s="4"/>
      <c r="F16" s="4"/>
      <c r="G16" s="45">
        <v>8329077275</v>
      </c>
      <c r="H16" s="45"/>
      <c r="I16" s="45"/>
      <c r="J16" s="45"/>
      <c r="K16" s="16"/>
    </row>
    <row r="17" spans="2:11" ht="22" customHeight="1" x14ac:dyDescent="0.2">
      <c r="C17" s="45" t="s">
        <v>146</v>
      </c>
      <c r="D17" s="45"/>
      <c r="E17" s="16"/>
      <c r="F17" s="4"/>
      <c r="G17" s="45" t="s">
        <v>146</v>
      </c>
      <c r="H17" s="45"/>
      <c r="I17" s="45"/>
      <c r="J17" s="45"/>
      <c r="K17" s="45"/>
    </row>
    <row r="18" spans="2:11" ht="22" customHeight="1" x14ac:dyDescent="0.2">
      <c r="C18" s="46" t="s">
        <v>147</v>
      </c>
      <c r="D18" s="46"/>
      <c r="E18" s="4"/>
      <c r="F18" s="4"/>
      <c r="G18" s="45" t="s">
        <v>147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141</v>
      </c>
      <c r="D21" s="36"/>
      <c r="E21" s="36" t="s">
        <v>132</v>
      </c>
      <c r="F21" s="36"/>
      <c r="G21" s="19">
        <v>47</v>
      </c>
      <c r="H21" s="20">
        <v>13</v>
      </c>
      <c r="I21" s="44">
        <v>611</v>
      </c>
      <c r="J21" s="44"/>
    </row>
    <row r="22" spans="2:11" ht="22" customHeight="1" x14ac:dyDescent="0.2">
      <c r="B22" s="25">
        <v>2</v>
      </c>
      <c r="C22" s="36" t="s">
        <v>142</v>
      </c>
      <c r="D22" s="36"/>
      <c r="E22" s="36" t="s">
        <v>132</v>
      </c>
      <c r="F22" s="36"/>
      <c r="G22" s="19">
        <v>13</v>
      </c>
      <c r="H22" s="20">
        <v>9</v>
      </c>
      <c r="I22" s="37">
        <v>117</v>
      </c>
      <c r="J22" s="38"/>
    </row>
    <row r="23" spans="2:11" ht="22" customHeight="1" x14ac:dyDescent="0.2">
      <c r="B23" s="25">
        <v>3</v>
      </c>
      <c r="C23" s="36" t="s">
        <v>144</v>
      </c>
      <c r="D23" s="36"/>
      <c r="E23" s="36" t="s">
        <v>132</v>
      </c>
      <c r="F23" s="36"/>
      <c r="G23" s="19">
        <v>10</v>
      </c>
      <c r="H23" s="20">
        <v>5</v>
      </c>
      <c r="I23" s="37">
        <v>50</v>
      </c>
      <c r="J23" s="38"/>
    </row>
    <row r="24" spans="2:11" ht="22" customHeight="1" x14ac:dyDescent="0.2">
      <c r="B24" s="25"/>
      <c r="C24" s="36"/>
      <c r="D24" s="36"/>
      <c r="E24" s="36"/>
      <c r="F24" s="36"/>
      <c r="G24" s="19"/>
      <c r="H24" s="20"/>
      <c r="I24" s="37"/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778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778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778</v>
      </c>
      <c r="J49" s="39"/>
    </row>
    <row r="51" spans="1:11" ht="82" customHeight="1" x14ac:dyDescent="0.2">
      <c r="C51" s="35" t="s">
        <v>137</v>
      </c>
      <c r="D51" s="35"/>
    </row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3">
    <mergeCell ref="I46:J46"/>
    <mergeCell ref="I47:J47"/>
    <mergeCell ref="I48:J48"/>
    <mergeCell ref="I49:J49"/>
    <mergeCell ref="C51:D51"/>
    <mergeCell ref="I45:J45"/>
    <mergeCell ref="C40:D40"/>
    <mergeCell ref="E40:F40"/>
    <mergeCell ref="I40:J40"/>
    <mergeCell ref="C41:D41"/>
    <mergeCell ref="E41:F41"/>
    <mergeCell ref="I41:J41"/>
    <mergeCell ref="C42:D42"/>
    <mergeCell ref="E42:F42"/>
    <mergeCell ref="I42:J42"/>
    <mergeCell ref="I43:J43"/>
    <mergeCell ref="I44:J44"/>
    <mergeCell ref="C38:D38"/>
    <mergeCell ref="E38:F38"/>
    <mergeCell ref="I38:J38"/>
    <mergeCell ref="C39:D39"/>
    <mergeCell ref="E39:F39"/>
    <mergeCell ref="I39:J39"/>
    <mergeCell ref="C36:D36"/>
    <mergeCell ref="E36:F36"/>
    <mergeCell ref="I36:J36"/>
    <mergeCell ref="C37:D37"/>
    <mergeCell ref="E37:F37"/>
    <mergeCell ref="I37:J37"/>
    <mergeCell ref="C34:D34"/>
    <mergeCell ref="E34:F34"/>
    <mergeCell ref="I34:J34"/>
    <mergeCell ref="C35:D35"/>
    <mergeCell ref="E35:F35"/>
    <mergeCell ref="I35:J35"/>
    <mergeCell ref="C32:D32"/>
    <mergeCell ref="E32:F32"/>
    <mergeCell ref="I32:J32"/>
    <mergeCell ref="C33:D33"/>
    <mergeCell ref="E33:F33"/>
    <mergeCell ref="I33:J33"/>
    <mergeCell ref="C30:D30"/>
    <mergeCell ref="E30:F30"/>
    <mergeCell ref="I30:J30"/>
    <mergeCell ref="C31:D31"/>
    <mergeCell ref="E31:F31"/>
    <mergeCell ref="I31:J31"/>
    <mergeCell ref="C28:D28"/>
    <mergeCell ref="E28:F28"/>
    <mergeCell ref="I28:J28"/>
    <mergeCell ref="C29:D29"/>
    <mergeCell ref="E29:F29"/>
    <mergeCell ref="I29:J29"/>
    <mergeCell ref="C26:D26"/>
    <mergeCell ref="E26:F26"/>
    <mergeCell ref="I26:J26"/>
    <mergeCell ref="C27:D27"/>
    <mergeCell ref="E27:F27"/>
    <mergeCell ref="I27:J27"/>
    <mergeCell ref="C24:D24"/>
    <mergeCell ref="E24:F24"/>
    <mergeCell ref="I24:J24"/>
    <mergeCell ref="C25:D25"/>
    <mergeCell ref="E25:F25"/>
    <mergeCell ref="I25:J25"/>
    <mergeCell ref="C22:D22"/>
    <mergeCell ref="E22:F22"/>
    <mergeCell ref="I22:J22"/>
    <mergeCell ref="C23:D23"/>
    <mergeCell ref="E23:F23"/>
    <mergeCell ref="I23:J23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15:D15"/>
    <mergeCell ref="G15:K15"/>
    <mergeCell ref="H3:J5"/>
    <mergeCell ref="I7:J7"/>
    <mergeCell ref="I9:J9"/>
    <mergeCell ref="C14:D14"/>
    <mergeCell ref="G14:J14"/>
  </mergeCells>
  <pageMargins left="0.45" right="0.45" top="0.5" bottom="0.5" header="0.3" footer="0.3"/>
  <pageSetup scale="61" orientation="portrait" horizontalDpi="0" verticalDpi="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6E08F-3801-9447-8115-B3426F12E8A7}">
  <sheetPr codeName="Sheet31">
    <pageSetUpPr fitToPage="1"/>
  </sheetPr>
  <dimension ref="A1:M52"/>
  <sheetViews>
    <sheetView zoomScale="56" zoomScaleNormal="90" workbookViewId="0">
      <selection activeCell="I49" sqref="I49:J49"/>
    </sheetView>
  </sheetViews>
  <sheetFormatPr baseColWidth="10" defaultRowHeight="16" x14ac:dyDescent="0.2"/>
  <cols>
    <col min="1" max="1" width="4.1640625" customWidth="1"/>
    <col min="2" max="2" width="8.5" customWidth="1"/>
    <col min="3" max="3" width="21.83203125" customWidth="1"/>
    <col min="4" max="4" width="38.83203125" customWidth="1"/>
    <col min="5" max="5" width="8.33203125" customWidth="1"/>
    <col min="6" max="6" width="6.33203125" customWidth="1"/>
    <col min="7" max="7" width="16.5" customWidth="1"/>
    <col min="8" max="8" width="18.1640625" customWidth="1"/>
    <col min="9" max="9" width="11" customWidth="1"/>
    <col min="11" max="11" width="4.6640625" customWidth="1"/>
    <col min="12" max="12" width="12.5" customWidth="1"/>
    <col min="13" max="13" width="31.3320312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3" ht="49" customHeight="1" x14ac:dyDescent="0.2">
      <c r="A3" s="6"/>
      <c r="B3" s="6"/>
      <c r="C3" s="6"/>
      <c r="D3" s="24" t="s">
        <v>28</v>
      </c>
      <c r="E3" s="7"/>
      <c r="F3" s="7"/>
      <c r="G3" s="6"/>
      <c r="H3" s="49" t="s">
        <v>0</v>
      </c>
      <c r="I3" s="49"/>
      <c r="J3" s="49"/>
      <c r="K3" s="6"/>
    </row>
    <row r="4" spans="1:13" ht="25" customHeight="1" x14ac:dyDescent="0.2">
      <c r="A4" s="6"/>
      <c r="B4" s="6"/>
      <c r="C4" s="23"/>
      <c r="D4" s="6" t="s">
        <v>29</v>
      </c>
      <c r="E4" s="7"/>
      <c r="F4" s="7"/>
      <c r="G4" s="6"/>
      <c r="H4" s="49"/>
      <c r="I4" s="49"/>
      <c r="J4" s="49"/>
      <c r="K4" s="6"/>
    </row>
    <row r="5" spans="1:13" ht="25" customHeight="1" x14ac:dyDescent="0.35">
      <c r="A5" s="6"/>
      <c r="B5" s="6"/>
      <c r="C5" s="23"/>
      <c r="D5" s="6" t="s">
        <v>30</v>
      </c>
      <c r="E5" s="6"/>
      <c r="F5" s="6"/>
      <c r="G5" s="6"/>
      <c r="H5" s="49"/>
      <c r="I5" s="49"/>
      <c r="J5" s="49"/>
      <c r="K5" s="6"/>
      <c r="M5" s="3"/>
    </row>
    <row r="6" spans="1:13" ht="25" customHeight="1" x14ac:dyDescent="0.35">
      <c r="A6" s="6"/>
      <c r="B6" s="6"/>
      <c r="C6" s="23"/>
      <c r="D6" s="6" t="s">
        <v>31</v>
      </c>
      <c r="E6" s="6"/>
      <c r="F6" s="6"/>
      <c r="G6" s="6"/>
      <c r="H6" s="6"/>
      <c r="I6" s="6"/>
      <c r="J6" s="6"/>
      <c r="K6" s="6"/>
      <c r="L6" s="3"/>
      <c r="M6" s="3"/>
    </row>
    <row r="7" spans="1:13" ht="32" customHeight="1" x14ac:dyDescent="0.35">
      <c r="A7" s="6"/>
      <c r="B7" s="6"/>
      <c r="C7" s="6"/>
      <c r="D7" s="6"/>
      <c r="E7" s="6"/>
      <c r="F7" s="6"/>
      <c r="G7" s="6"/>
      <c r="H7" s="6" t="s">
        <v>1</v>
      </c>
      <c r="I7" s="50">
        <v>46052</v>
      </c>
      <c r="J7" s="50"/>
      <c r="K7" s="6"/>
      <c r="L7" s="3"/>
      <c r="M7" s="3"/>
    </row>
    <row r="8" spans="1:13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3" x14ac:dyDescent="0.2">
      <c r="A9" s="6"/>
      <c r="B9" s="6"/>
      <c r="C9" s="6"/>
      <c r="D9" s="6"/>
      <c r="E9" s="6"/>
      <c r="F9" s="6"/>
      <c r="G9" s="6"/>
      <c r="H9" s="6" t="s">
        <v>2</v>
      </c>
      <c r="I9" s="51">
        <v>30</v>
      </c>
      <c r="J9" s="51"/>
      <c r="K9" s="6"/>
    </row>
    <row r="10" spans="1:13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3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3" spans="1:13" ht="22" customHeight="1" x14ac:dyDescent="0.2"/>
    <row r="14" spans="1:13" ht="22" customHeight="1" x14ac:dyDescent="0.2">
      <c r="C14" s="52" t="s">
        <v>3</v>
      </c>
      <c r="D14" s="52"/>
      <c r="E14" s="14"/>
      <c r="F14" s="5"/>
      <c r="G14" s="52" t="s">
        <v>4</v>
      </c>
      <c r="H14" s="52"/>
      <c r="I14" s="52"/>
      <c r="J14" s="52"/>
      <c r="K14" s="8"/>
    </row>
    <row r="15" spans="1:13" ht="22" customHeight="1" x14ac:dyDescent="0.2">
      <c r="C15" s="46" t="s">
        <v>17</v>
      </c>
      <c r="D15" s="46"/>
      <c r="E15" s="4"/>
      <c r="F15" s="4"/>
      <c r="G15" s="46" t="s">
        <v>17</v>
      </c>
      <c r="H15" s="46"/>
      <c r="I15" s="46"/>
      <c r="J15" s="46"/>
      <c r="K15" s="46"/>
    </row>
    <row r="16" spans="1:13" ht="22" customHeight="1" x14ac:dyDescent="0.2">
      <c r="C16" s="45">
        <v>7148545588</v>
      </c>
      <c r="D16" s="45"/>
      <c r="E16" s="4"/>
      <c r="F16" s="4"/>
      <c r="G16" s="45">
        <v>7148545588</v>
      </c>
      <c r="H16" s="45"/>
      <c r="I16" s="45"/>
      <c r="J16" s="45"/>
      <c r="K16" s="16"/>
    </row>
    <row r="17" spans="2:11" ht="22" customHeight="1" x14ac:dyDescent="0.2">
      <c r="C17" s="45" t="s">
        <v>139</v>
      </c>
      <c r="D17" s="45"/>
      <c r="E17" s="16"/>
      <c r="F17" s="4"/>
      <c r="G17" s="45" t="s">
        <v>139</v>
      </c>
      <c r="H17" s="45"/>
      <c r="I17" s="45"/>
      <c r="J17" s="45"/>
      <c r="K17" s="45"/>
    </row>
    <row r="18" spans="2:11" ht="22" customHeight="1" x14ac:dyDescent="0.2">
      <c r="C18" s="46" t="s">
        <v>140</v>
      </c>
      <c r="D18" s="46"/>
      <c r="E18" s="4"/>
      <c r="F18" s="4"/>
      <c r="G18" s="45" t="s">
        <v>140</v>
      </c>
      <c r="H18" s="45"/>
      <c r="I18" s="45"/>
      <c r="J18" s="45"/>
      <c r="K18" s="45"/>
    </row>
    <row r="19" spans="2:11" ht="22" customHeight="1" x14ac:dyDescent="0.2">
      <c r="C19" s="47"/>
      <c r="D19" s="47"/>
      <c r="E19" s="2"/>
      <c r="F19" s="2"/>
      <c r="G19" s="47"/>
      <c r="H19" s="47"/>
      <c r="I19" s="47"/>
      <c r="J19" s="47"/>
      <c r="K19" s="2"/>
    </row>
    <row r="20" spans="2:11" s="2" customFormat="1" ht="22" customHeight="1" x14ac:dyDescent="0.2">
      <c r="B20" s="9" t="s">
        <v>75</v>
      </c>
      <c r="C20" s="48" t="s">
        <v>5</v>
      </c>
      <c r="D20" s="48"/>
      <c r="E20" s="48" t="s">
        <v>26</v>
      </c>
      <c r="F20" s="48"/>
      <c r="G20" s="9" t="s">
        <v>6</v>
      </c>
      <c r="H20" s="9" t="s">
        <v>8</v>
      </c>
      <c r="I20" s="48" t="s">
        <v>9</v>
      </c>
      <c r="J20" s="48"/>
    </row>
    <row r="21" spans="2:11" ht="22" customHeight="1" x14ac:dyDescent="0.2">
      <c r="B21" s="25">
        <v>1</v>
      </c>
      <c r="C21" s="36" t="s">
        <v>141</v>
      </c>
      <c r="D21" s="36"/>
      <c r="E21" s="36" t="s">
        <v>132</v>
      </c>
      <c r="F21" s="36"/>
      <c r="G21" s="19">
        <v>57</v>
      </c>
      <c r="H21" s="20">
        <v>13</v>
      </c>
      <c r="I21" s="44">
        <v>741</v>
      </c>
      <c r="J21" s="44"/>
    </row>
    <row r="22" spans="2:11" ht="22" customHeight="1" x14ac:dyDescent="0.2">
      <c r="B22" s="25">
        <v>2</v>
      </c>
      <c r="C22" s="36" t="s">
        <v>142</v>
      </c>
      <c r="D22" s="36"/>
      <c r="E22" s="36" t="s">
        <v>132</v>
      </c>
      <c r="F22" s="36"/>
      <c r="G22" s="19">
        <v>12</v>
      </c>
      <c r="H22" s="20">
        <v>9</v>
      </c>
      <c r="I22" s="37">
        <v>108</v>
      </c>
      <c r="J22" s="38"/>
    </row>
    <row r="23" spans="2:11" ht="22" customHeight="1" x14ac:dyDescent="0.2">
      <c r="B23" s="25">
        <v>3</v>
      </c>
      <c r="C23" s="36" t="s">
        <v>144</v>
      </c>
      <c r="D23" s="36"/>
      <c r="E23" s="36" t="s">
        <v>132</v>
      </c>
      <c r="F23" s="36"/>
      <c r="G23" s="19">
        <v>14</v>
      </c>
      <c r="H23" s="20">
        <v>5</v>
      </c>
      <c r="I23" s="37">
        <v>70</v>
      </c>
      <c r="J23" s="38"/>
    </row>
    <row r="24" spans="2:11" ht="22" customHeight="1" x14ac:dyDescent="0.2">
      <c r="B24" s="25">
        <v>4</v>
      </c>
      <c r="C24" s="36" t="s">
        <v>143</v>
      </c>
      <c r="D24" s="36"/>
      <c r="E24" s="36" t="s">
        <v>132</v>
      </c>
      <c r="F24" s="36"/>
      <c r="G24" s="19">
        <v>3</v>
      </c>
      <c r="H24" s="20">
        <v>5.5</v>
      </c>
      <c r="I24" s="37">
        <v>16.5</v>
      </c>
      <c r="J24" s="38"/>
    </row>
    <row r="25" spans="2:11" ht="22" customHeight="1" x14ac:dyDescent="0.2">
      <c r="B25" s="25"/>
      <c r="C25" s="36"/>
      <c r="D25" s="36"/>
      <c r="E25" s="36"/>
      <c r="F25" s="36"/>
      <c r="G25" s="19"/>
      <c r="H25" s="20"/>
      <c r="I25" s="37"/>
      <c r="J25" s="38"/>
    </row>
    <row r="26" spans="2:11" ht="22" customHeight="1" x14ac:dyDescent="0.2">
      <c r="B26" s="25"/>
      <c r="C26" s="36"/>
      <c r="D26" s="36"/>
      <c r="E26" s="36"/>
      <c r="F26" s="36"/>
      <c r="G26" s="19"/>
      <c r="H26" s="20"/>
      <c r="I26" s="37"/>
      <c r="J26" s="38"/>
    </row>
    <row r="27" spans="2:11" ht="22" customHeight="1" x14ac:dyDescent="0.2">
      <c r="B27" s="25"/>
      <c r="C27" s="36"/>
      <c r="D27" s="36"/>
      <c r="E27" s="36"/>
      <c r="F27" s="36"/>
      <c r="G27" s="19"/>
      <c r="H27" s="20"/>
      <c r="I27" s="37"/>
      <c r="J27" s="38"/>
    </row>
    <row r="28" spans="2:11" ht="22" customHeight="1" x14ac:dyDescent="0.2">
      <c r="B28" s="25"/>
      <c r="C28" s="36"/>
      <c r="D28" s="36"/>
      <c r="E28" s="36"/>
      <c r="F28" s="36"/>
      <c r="G28" s="19"/>
      <c r="H28" s="20"/>
      <c r="I28" s="37"/>
      <c r="J28" s="38"/>
    </row>
    <row r="29" spans="2:11" ht="22" customHeight="1" x14ac:dyDescent="0.2">
      <c r="B29" s="25"/>
      <c r="C29" s="36"/>
      <c r="D29" s="36"/>
      <c r="E29" s="36"/>
      <c r="F29" s="36"/>
      <c r="G29" s="19"/>
      <c r="H29" s="20"/>
      <c r="I29" s="37"/>
      <c r="J29" s="38"/>
    </row>
    <row r="30" spans="2:11" ht="22" customHeight="1" x14ac:dyDescent="0.2">
      <c r="B30" s="25"/>
      <c r="C30" s="36"/>
      <c r="D30" s="36"/>
      <c r="E30" s="36"/>
      <c r="F30" s="36"/>
      <c r="G30" s="19"/>
      <c r="H30" s="20"/>
      <c r="I30" s="37"/>
      <c r="J30" s="38"/>
    </row>
    <row r="31" spans="2:11" ht="22" customHeight="1" x14ac:dyDescent="0.2">
      <c r="B31" s="25"/>
      <c r="C31" s="36"/>
      <c r="D31" s="36"/>
      <c r="E31" s="36"/>
      <c r="F31" s="36"/>
      <c r="G31" s="19"/>
      <c r="H31" s="20"/>
      <c r="I31" s="37"/>
      <c r="J31" s="38"/>
    </row>
    <row r="32" spans="2:11" ht="22" customHeight="1" x14ac:dyDescent="0.2">
      <c r="B32" s="25"/>
      <c r="C32" s="36"/>
      <c r="D32" s="36"/>
      <c r="E32" s="36"/>
      <c r="F32" s="36"/>
      <c r="G32" s="19"/>
      <c r="H32" s="20"/>
      <c r="I32" s="37"/>
      <c r="J32" s="38"/>
    </row>
    <row r="33" spans="2:10" ht="22" customHeight="1" x14ac:dyDescent="0.2">
      <c r="B33" s="25"/>
      <c r="C33" s="36"/>
      <c r="D33" s="36"/>
      <c r="E33" s="36"/>
      <c r="F33" s="36"/>
      <c r="G33" s="19"/>
      <c r="H33" s="20"/>
      <c r="I33" s="37"/>
      <c r="J33" s="38"/>
    </row>
    <row r="34" spans="2:10" ht="22" customHeight="1" x14ac:dyDescent="0.2">
      <c r="B34" s="25"/>
      <c r="C34" s="36"/>
      <c r="D34" s="36"/>
      <c r="E34" s="36"/>
      <c r="F34" s="36"/>
      <c r="G34" s="19"/>
      <c r="H34" s="20"/>
      <c r="I34" s="37"/>
      <c r="J34" s="38"/>
    </row>
    <row r="35" spans="2:10" ht="22" customHeight="1" x14ac:dyDescent="0.2">
      <c r="B35" s="25"/>
      <c r="C35" s="36"/>
      <c r="D35" s="36"/>
      <c r="E35" s="36"/>
      <c r="F35" s="36"/>
      <c r="G35" s="19"/>
      <c r="H35" s="20"/>
      <c r="I35" s="37"/>
      <c r="J35" s="38"/>
    </row>
    <row r="36" spans="2:10" ht="22" customHeight="1" x14ac:dyDescent="0.2">
      <c r="B36" s="25"/>
      <c r="C36" s="36"/>
      <c r="D36" s="36"/>
      <c r="E36" s="36"/>
      <c r="F36" s="36"/>
      <c r="G36" s="19"/>
      <c r="H36" s="20"/>
      <c r="I36" s="37"/>
      <c r="J36" s="38"/>
    </row>
    <row r="37" spans="2:10" ht="22" customHeight="1" x14ac:dyDescent="0.2">
      <c r="B37" s="25"/>
      <c r="C37" s="36"/>
      <c r="D37" s="36"/>
      <c r="E37" s="36"/>
      <c r="F37" s="36"/>
      <c r="G37" s="19"/>
      <c r="H37" s="20"/>
      <c r="I37" s="37"/>
      <c r="J37" s="38"/>
    </row>
    <row r="38" spans="2:10" ht="22" customHeight="1" x14ac:dyDescent="0.2">
      <c r="B38" s="25"/>
      <c r="C38" s="36"/>
      <c r="D38" s="36"/>
      <c r="E38" s="36"/>
      <c r="F38" s="36"/>
      <c r="G38" s="19"/>
      <c r="H38" s="20"/>
      <c r="I38" s="37"/>
      <c r="J38" s="38"/>
    </row>
    <row r="39" spans="2:10" ht="22" customHeight="1" x14ac:dyDescent="0.2">
      <c r="B39" s="25"/>
      <c r="C39" s="36"/>
      <c r="D39" s="36"/>
      <c r="E39" s="36"/>
      <c r="F39" s="36"/>
      <c r="G39" s="19"/>
      <c r="H39" s="20"/>
      <c r="I39" s="37"/>
      <c r="J39" s="38"/>
    </row>
    <row r="40" spans="2:10" ht="22" customHeight="1" x14ac:dyDescent="0.2">
      <c r="B40" s="25"/>
      <c r="C40" s="36"/>
      <c r="D40" s="36"/>
      <c r="E40" s="36"/>
      <c r="F40" s="36"/>
      <c r="G40" s="19"/>
      <c r="H40" s="20"/>
      <c r="I40" s="37"/>
      <c r="J40" s="38"/>
    </row>
    <row r="41" spans="2:10" ht="22" customHeight="1" x14ac:dyDescent="0.2">
      <c r="B41" s="25"/>
      <c r="C41" s="36"/>
      <c r="D41" s="36"/>
      <c r="E41" s="36"/>
      <c r="F41" s="36"/>
      <c r="G41" s="19"/>
      <c r="H41" s="20"/>
      <c r="I41" s="37"/>
      <c r="J41" s="38"/>
    </row>
    <row r="42" spans="2:10" ht="22" customHeight="1" x14ac:dyDescent="0.2">
      <c r="B42" s="25"/>
      <c r="C42" s="36"/>
      <c r="D42" s="36"/>
      <c r="E42" s="36"/>
      <c r="F42" s="36"/>
      <c r="G42" s="19"/>
      <c r="H42" s="20"/>
      <c r="I42" s="37"/>
      <c r="J42" s="38"/>
    </row>
    <row r="43" spans="2:10" ht="22" customHeight="1" x14ac:dyDescent="0.2">
      <c r="H43" s="11" t="s">
        <v>10</v>
      </c>
      <c r="I43" s="40">
        <v>935.5</v>
      </c>
      <c r="J43" s="40"/>
    </row>
    <row r="44" spans="2:10" ht="22" customHeight="1" x14ac:dyDescent="0.2">
      <c r="H44" s="11" t="s">
        <v>11</v>
      </c>
      <c r="I44" s="41">
        <v>0</v>
      </c>
      <c r="J44" s="41"/>
    </row>
    <row r="45" spans="2:10" ht="22" customHeight="1" x14ac:dyDescent="0.2">
      <c r="H45" s="11" t="s">
        <v>12</v>
      </c>
      <c r="I45" s="41">
        <v>935.5</v>
      </c>
      <c r="J45" s="41"/>
    </row>
    <row r="46" spans="2:10" ht="22" customHeight="1" x14ac:dyDescent="0.2">
      <c r="H46" s="11" t="s">
        <v>13</v>
      </c>
      <c r="I46" s="42">
        <v>0</v>
      </c>
      <c r="J46" s="42"/>
    </row>
    <row r="47" spans="2:10" ht="22" customHeight="1" x14ac:dyDescent="0.2">
      <c r="H47" s="11" t="s">
        <v>14</v>
      </c>
      <c r="I47" s="41">
        <v>0</v>
      </c>
      <c r="J47" s="41"/>
    </row>
    <row r="48" spans="2:10" ht="22" customHeight="1" thickBot="1" x14ac:dyDescent="0.25">
      <c r="H48" s="12" t="s">
        <v>15</v>
      </c>
      <c r="I48" s="43">
        <v>0</v>
      </c>
      <c r="J48" s="43"/>
    </row>
    <row r="49" spans="1:11" ht="42" customHeight="1" x14ac:dyDescent="0.2">
      <c r="H49" s="13" t="s">
        <v>16</v>
      </c>
      <c r="I49" s="39">
        <v>935.5</v>
      </c>
      <c r="J49" s="39"/>
    </row>
    <row r="51" spans="1:11" ht="82" customHeight="1" x14ac:dyDescent="0.2">
      <c r="C51" s="35" t="s">
        <v>137</v>
      </c>
      <c r="D51" s="35"/>
    </row>
    <row r="52" spans="1:1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93">
    <mergeCell ref="C15:D15"/>
    <mergeCell ref="G15:K15"/>
    <mergeCell ref="H3:J5"/>
    <mergeCell ref="I7:J7"/>
    <mergeCell ref="I9:J9"/>
    <mergeCell ref="C14:D14"/>
    <mergeCell ref="G14:J14"/>
    <mergeCell ref="C21:D21"/>
    <mergeCell ref="E21:F21"/>
    <mergeCell ref="I21:J21"/>
    <mergeCell ref="C16:D16"/>
    <mergeCell ref="G16:H16"/>
    <mergeCell ref="I16:J16"/>
    <mergeCell ref="C17:D17"/>
    <mergeCell ref="G17:K17"/>
    <mergeCell ref="C18:D18"/>
    <mergeCell ref="G18:K18"/>
    <mergeCell ref="C19:D19"/>
    <mergeCell ref="G19:J19"/>
    <mergeCell ref="C20:D20"/>
    <mergeCell ref="E20:F20"/>
    <mergeCell ref="I20:J20"/>
    <mergeCell ref="C22:D22"/>
    <mergeCell ref="E22:F22"/>
    <mergeCell ref="I22:J22"/>
    <mergeCell ref="C23:D23"/>
    <mergeCell ref="E23:F23"/>
    <mergeCell ref="I23:J23"/>
    <mergeCell ref="C24:D24"/>
    <mergeCell ref="E24:F24"/>
    <mergeCell ref="I24:J24"/>
    <mergeCell ref="C25:D25"/>
    <mergeCell ref="E25:F25"/>
    <mergeCell ref="I25:J25"/>
    <mergeCell ref="C26:D26"/>
    <mergeCell ref="E26:F26"/>
    <mergeCell ref="I26:J26"/>
    <mergeCell ref="C27:D27"/>
    <mergeCell ref="E27:F27"/>
    <mergeCell ref="I27:J27"/>
    <mergeCell ref="C28:D28"/>
    <mergeCell ref="E28:F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C33:D33"/>
    <mergeCell ref="E33:F33"/>
    <mergeCell ref="I33:J33"/>
    <mergeCell ref="C34:D34"/>
    <mergeCell ref="E34:F34"/>
    <mergeCell ref="I34:J34"/>
    <mergeCell ref="C35:D35"/>
    <mergeCell ref="E35:F35"/>
    <mergeCell ref="I35:J35"/>
    <mergeCell ref="C36:D36"/>
    <mergeCell ref="E36:F36"/>
    <mergeCell ref="I36:J36"/>
    <mergeCell ref="C37:D37"/>
    <mergeCell ref="E37:F37"/>
    <mergeCell ref="I37:J37"/>
    <mergeCell ref="C38:D38"/>
    <mergeCell ref="E38:F38"/>
    <mergeCell ref="I38:J38"/>
    <mergeCell ref="C39:D39"/>
    <mergeCell ref="E39:F39"/>
    <mergeCell ref="I39:J39"/>
    <mergeCell ref="I45:J45"/>
    <mergeCell ref="C40:D40"/>
    <mergeCell ref="E40:F40"/>
    <mergeCell ref="I40:J40"/>
    <mergeCell ref="C41:D41"/>
    <mergeCell ref="E41:F41"/>
    <mergeCell ref="I41:J41"/>
    <mergeCell ref="C42:D42"/>
    <mergeCell ref="E42:F42"/>
    <mergeCell ref="I42:J42"/>
    <mergeCell ref="I43:J43"/>
    <mergeCell ref="I44:J44"/>
    <mergeCell ref="I46:J46"/>
    <mergeCell ref="I47:J47"/>
    <mergeCell ref="I48:J48"/>
    <mergeCell ref="I49:J49"/>
    <mergeCell ref="C51:D51"/>
  </mergeCells>
  <pageMargins left="0.45" right="0.45" top="0.5" bottom="0.5" header="0.3" footer="0.3"/>
  <pageSetup scale="61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30</vt:i4>
      </vt:variant>
    </vt:vector>
  </HeadingPairs>
  <TitlesOfParts>
    <vt:vector size="61" baseType="lpstr">
      <vt:lpstr>Transfer</vt:lpstr>
      <vt:lpstr>Sample Invoice</vt:lpstr>
      <vt:lpstr>UL0005</vt:lpstr>
      <vt:lpstr>Invoice - UL0006</vt:lpstr>
      <vt:lpstr>Invoice - UL0007</vt:lpstr>
      <vt:lpstr>Invoice - UL0008</vt:lpstr>
      <vt:lpstr>Invoice - UL0009</vt:lpstr>
      <vt:lpstr>Invoice - UL0010</vt:lpstr>
      <vt:lpstr>Invoice - UL0011</vt:lpstr>
      <vt:lpstr>Invoice - UL0012</vt:lpstr>
      <vt:lpstr>Invoice - UL0013</vt:lpstr>
      <vt:lpstr>Invoice - UL0014</vt:lpstr>
      <vt:lpstr>Invoice - UL0015</vt:lpstr>
      <vt:lpstr>Invoice - UL0016</vt:lpstr>
      <vt:lpstr>Invoice - UL0017</vt:lpstr>
      <vt:lpstr>Invoice - UL0018</vt:lpstr>
      <vt:lpstr>Invoice - UL0019</vt:lpstr>
      <vt:lpstr>Invoice - UL0020</vt:lpstr>
      <vt:lpstr>Invoice World Market 08-30</vt:lpstr>
      <vt:lpstr>Invoice - UL0021</vt:lpstr>
      <vt:lpstr>Invoice - UL0022</vt:lpstr>
      <vt:lpstr>Invoice - UL0023</vt:lpstr>
      <vt:lpstr>Invoice - UL0024</vt:lpstr>
      <vt:lpstr>Invoice - UL0025</vt:lpstr>
      <vt:lpstr>Invoice - UL0026</vt:lpstr>
      <vt:lpstr>Invoice - UL0023 (2)</vt:lpstr>
      <vt:lpstr>Invoice - UL0027</vt:lpstr>
      <vt:lpstr>Invoice - UL0028</vt:lpstr>
      <vt:lpstr>Invoice - UL0029</vt:lpstr>
      <vt:lpstr>Invoice - UL0030</vt:lpstr>
      <vt:lpstr>Invoice - UL0031</vt:lpstr>
      <vt:lpstr>'Invoice - UL0006'!Print_Area</vt:lpstr>
      <vt:lpstr>'Invoice - UL0007'!Print_Area</vt:lpstr>
      <vt:lpstr>'Invoice - UL0008'!Print_Area</vt:lpstr>
      <vt:lpstr>'Invoice - UL0009'!Print_Area</vt:lpstr>
      <vt:lpstr>'Invoice - UL0010'!Print_Area</vt:lpstr>
      <vt:lpstr>'Invoice - UL0011'!Print_Area</vt:lpstr>
      <vt:lpstr>'Invoice - UL0012'!Print_Area</vt:lpstr>
      <vt:lpstr>'Invoice - UL0013'!Print_Area</vt:lpstr>
      <vt:lpstr>'Invoice - UL0014'!Print_Area</vt:lpstr>
      <vt:lpstr>'Invoice - UL0015'!Print_Area</vt:lpstr>
      <vt:lpstr>'Invoice - UL0016'!Print_Area</vt:lpstr>
      <vt:lpstr>'Invoice - UL0017'!Print_Area</vt:lpstr>
      <vt:lpstr>'Invoice - UL0018'!Print_Area</vt:lpstr>
      <vt:lpstr>'Invoice - UL0019'!Print_Area</vt:lpstr>
      <vt:lpstr>'Invoice - UL0020'!Print_Area</vt:lpstr>
      <vt:lpstr>'Invoice - UL0021'!Print_Area</vt:lpstr>
      <vt:lpstr>'Invoice - UL0022'!Print_Area</vt:lpstr>
      <vt:lpstr>'Invoice - UL0023'!Print_Area</vt:lpstr>
      <vt:lpstr>'Invoice - UL0023 (2)'!Print_Area</vt:lpstr>
      <vt:lpstr>'Invoice - UL0024'!Print_Area</vt:lpstr>
      <vt:lpstr>'Invoice - UL0025'!Print_Area</vt:lpstr>
      <vt:lpstr>'Invoice - UL0026'!Print_Area</vt:lpstr>
      <vt:lpstr>'Invoice - UL0027'!Print_Area</vt:lpstr>
      <vt:lpstr>'Invoice - UL0028'!Print_Area</vt:lpstr>
      <vt:lpstr>'Invoice - UL0029'!Print_Area</vt:lpstr>
      <vt:lpstr>'Invoice - UL0030'!Print_Area</vt:lpstr>
      <vt:lpstr>'Invoice - UL0031'!Print_Area</vt:lpstr>
      <vt:lpstr>'Invoice World Market 08-30'!Print_Area</vt:lpstr>
      <vt:lpstr>'Sample Invoice'!Print_Area</vt:lpstr>
      <vt:lpstr>'UL0005'!Print_Area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Võ Thanh Tùng</dc:creator>
  <cp:lastModifiedBy>Võ Thanh Tùng</cp:lastModifiedBy>
  <cp:lastPrinted>2026-02-09T23:16:37Z</cp:lastPrinted>
  <dcterms:created xsi:type="dcterms:W3CDTF">2025-02-08T22:08:27Z</dcterms:created>
  <dcterms:modified xsi:type="dcterms:W3CDTF">2026-02-27T18:16:01Z</dcterms:modified>
</cp:coreProperties>
</file>